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TU Delft\BSc 3\SVV\"/>
    </mc:Choice>
  </mc:AlternateContent>
  <xr:revisionPtr revIDLastSave="0" documentId="8_{C49DCF46-9EA5-4130-B61D-2BC33441BDCF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Observation Sheet" sheetId="1" r:id="rId1"/>
    <sheet name="Averages" sheetId="5" r:id="rId2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69" i="5" l="1"/>
  <c r="G58" i="5"/>
  <c r="G46" i="5"/>
  <c r="G35" i="5"/>
  <c r="G24" i="5"/>
  <c r="D35" i="5"/>
  <c r="E18" i="1"/>
  <c r="X102" i="5"/>
  <c r="X80" i="5"/>
  <c r="X69" i="5"/>
  <c r="X58" i="5"/>
  <c r="X46" i="5"/>
  <c r="X35" i="5"/>
  <c r="X24" i="5"/>
  <c r="W13" i="5"/>
  <c r="X13" i="5"/>
  <c r="N102" i="5"/>
  <c r="O102" i="5"/>
  <c r="P102" i="5"/>
  <c r="Q102" i="5"/>
  <c r="R102" i="5"/>
  <c r="S102" i="5"/>
  <c r="T102" i="5"/>
  <c r="U102" i="5"/>
  <c r="V102" i="5"/>
  <c r="W102" i="5"/>
  <c r="N91" i="5"/>
  <c r="O91" i="5"/>
  <c r="P91" i="5"/>
  <c r="Q91" i="5"/>
  <c r="R91" i="5"/>
  <c r="S91" i="5"/>
  <c r="T91" i="5"/>
  <c r="U91" i="5"/>
  <c r="V91" i="5"/>
  <c r="W91" i="5"/>
  <c r="X91" i="5"/>
  <c r="N80" i="5"/>
  <c r="O80" i="5"/>
  <c r="P80" i="5"/>
  <c r="Q80" i="5"/>
  <c r="R80" i="5"/>
  <c r="S80" i="5"/>
  <c r="T80" i="5"/>
  <c r="U80" i="5"/>
  <c r="V80" i="5"/>
  <c r="W80" i="5"/>
  <c r="N69" i="5"/>
  <c r="O69" i="5"/>
  <c r="P69" i="5"/>
  <c r="Q69" i="5"/>
  <c r="R69" i="5"/>
  <c r="S69" i="5"/>
  <c r="T69" i="5"/>
  <c r="U69" i="5"/>
  <c r="V69" i="5"/>
  <c r="W69" i="5"/>
  <c r="N58" i="5"/>
  <c r="O58" i="5"/>
  <c r="P58" i="5"/>
  <c r="Q58" i="5"/>
  <c r="R58" i="5"/>
  <c r="S58" i="5"/>
  <c r="T58" i="5"/>
  <c r="U58" i="5"/>
  <c r="V58" i="5"/>
  <c r="W58" i="5"/>
  <c r="N46" i="5"/>
  <c r="O46" i="5"/>
  <c r="P46" i="5"/>
  <c r="Q46" i="5"/>
  <c r="R46" i="5"/>
  <c r="S46" i="5"/>
  <c r="T46" i="5"/>
  <c r="U46" i="5"/>
  <c r="V46" i="5"/>
  <c r="W46" i="5"/>
  <c r="N35" i="5"/>
  <c r="O35" i="5"/>
  <c r="P35" i="5"/>
  <c r="Q35" i="5"/>
  <c r="R35" i="5"/>
  <c r="S35" i="5"/>
  <c r="T35" i="5"/>
  <c r="U35" i="5"/>
  <c r="V35" i="5"/>
  <c r="W35" i="5"/>
  <c r="N24" i="5"/>
  <c r="O24" i="5"/>
  <c r="P24" i="5"/>
  <c r="Q24" i="5"/>
  <c r="R24" i="5"/>
  <c r="S24" i="5"/>
  <c r="T24" i="5"/>
  <c r="U24" i="5"/>
  <c r="V24" i="5"/>
  <c r="W24" i="5"/>
  <c r="O13" i="5"/>
  <c r="P13" i="5"/>
  <c r="Q13" i="5"/>
  <c r="R13" i="5"/>
  <c r="S13" i="5"/>
  <c r="T13" i="5"/>
  <c r="U13" i="5"/>
  <c r="V13" i="5"/>
  <c r="N13" i="5"/>
  <c r="I13" i="5"/>
  <c r="B13" i="5"/>
  <c r="I24" i="5"/>
  <c r="H24" i="5"/>
  <c r="F24" i="5"/>
  <c r="E24" i="5"/>
  <c r="D24" i="5"/>
  <c r="C24" i="5"/>
  <c r="B24" i="5"/>
  <c r="B69" i="5"/>
  <c r="C69" i="5"/>
  <c r="D69" i="5"/>
  <c r="E69" i="5"/>
  <c r="F69" i="5"/>
  <c r="H69" i="5"/>
  <c r="I69" i="5"/>
  <c r="B58" i="5"/>
  <c r="C58" i="5"/>
  <c r="D58" i="5"/>
  <c r="E58" i="5"/>
  <c r="F58" i="5"/>
  <c r="H58" i="5"/>
  <c r="I58" i="5"/>
  <c r="B46" i="5"/>
  <c r="C46" i="5"/>
  <c r="D46" i="5"/>
  <c r="E46" i="5"/>
  <c r="F46" i="5"/>
  <c r="H46" i="5"/>
  <c r="I46" i="5"/>
  <c r="B35" i="5"/>
  <c r="C35" i="5"/>
  <c r="E35" i="5"/>
  <c r="F35" i="5"/>
  <c r="H35" i="5"/>
  <c r="I35" i="5"/>
  <c r="C13" i="5"/>
  <c r="D13" i="5"/>
  <c r="E13" i="5"/>
  <c r="F13" i="5"/>
  <c r="G13" i="5"/>
  <c r="H13" i="5"/>
  <c r="K4" i="1"/>
  <c r="M4" i="1" s="1"/>
</calcChain>
</file>

<file path=xl/sharedStrings.xml><?xml version="1.0" encoding="utf-8"?>
<sst xmlns="http://schemas.openxmlformats.org/spreadsheetml/2006/main" count="422" uniqueCount="86">
  <si>
    <t>Post-Flight Data Sheet AE3202</t>
  </si>
  <si>
    <t>date of flight:</t>
  </si>
  <si>
    <t>4.3.2025</t>
  </si>
  <si>
    <t>T/O time:</t>
  </si>
  <si>
    <t>flight number:</t>
  </si>
  <si>
    <t>LND time:</t>
  </si>
  <si>
    <t>Total mass</t>
  </si>
  <si>
    <t>lbs</t>
  </si>
  <si>
    <t>kg</t>
  </si>
  <si>
    <t>Weights</t>
  </si>
  <si>
    <t>name</t>
  </si>
  <si>
    <t>mass [kg]</t>
  </si>
  <si>
    <t>pilot 1:</t>
  </si>
  <si>
    <t>pilot 2:</t>
  </si>
  <si>
    <t>co-ordinator:</t>
  </si>
  <si>
    <t>observer 1L:</t>
  </si>
  <si>
    <t>observer 1R:</t>
  </si>
  <si>
    <t>observer 2L:</t>
  </si>
  <si>
    <t>observer 2R:</t>
  </si>
  <si>
    <t>observer 3L:</t>
  </si>
  <si>
    <t>observer 3R:</t>
  </si>
  <si>
    <t>block fuel [lbs/kg]:</t>
  </si>
  <si>
    <t>Stationary measurements CL-CD Series 1</t>
  </si>
  <si>
    <t>Aircraft configuration:</t>
  </si>
  <si>
    <t>clean</t>
  </si>
  <si>
    <t>nr.</t>
  </si>
  <si>
    <t>time</t>
  </si>
  <si>
    <t>ET*</t>
  </si>
  <si>
    <t>hp</t>
  </si>
  <si>
    <t>IAS</t>
  </si>
  <si>
    <t>a</t>
  </si>
  <si>
    <t>FFl</t>
  </si>
  <si>
    <t>FFr</t>
  </si>
  <si>
    <t>F. used</t>
  </si>
  <si>
    <t>TAT</t>
  </si>
  <si>
    <t>de</t>
  </si>
  <si>
    <t>detr</t>
  </si>
  <si>
    <t>Fe</t>
  </si>
  <si>
    <t>F used</t>
  </si>
  <si>
    <t>[hrs:min]</t>
  </si>
  <si>
    <t>[sec]</t>
  </si>
  <si>
    <t>[ft]</t>
  </si>
  <si>
    <t>[kts]</t>
  </si>
  <si>
    <t>[deg]</t>
  </si>
  <si>
    <t>[lbs/hr]</t>
  </si>
  <si>
    <t>[lbs]</t>
  </si>
  <si>
    <t>[°C]</t>
  </si>
  <si>
    <t>[N]</t>
  </si>
  <si>
    <t>-</t>
  </si>
  <si>
    <t>* ET = Elapsed Time</t>
  </si>
  <si>
    <t>Shift in center of gravity</t>
  </si>
  <si>
    <t>name:</t>
  </si>
  <si>
    <t>no. 9</t>
  </si>
  <si>
    <t>position:</t>
  </si>
  <si>
    <t>3R</t>
  </si>
  <si>
    <t>moved to position:</t>
  </si>
  <si>
    <t>Cockpit</t>
  </si>
  <si>
    <t>[hh:mm]</t>
  </si>
  <si>
    <t>Eigenmotions</t>
  </si>
  <si>
    <t>Time</t>
  </si>
  <si>
    <t>Phugoid</t>
  </si>
  <si>
    <t>Dutch Roll</t>
  </si>
  <si>
    <t>Aper. Roll</t>
  </si>
  <si>
    <t>Short period</t>
  </si>
  <si>
    <t>Dutch Roll YD</t>
  </si>
  <si>
    <t xml:space="preserve">Spiral </t>
  </si>
  <si>
    <t>First set of stationary measurements</t>
  </si>
  <si>
    <t>Second set of stationary measurements, Elevator trim curve</t>
  </si>
  <si>
    <t>Experiment 1</t>
  </si>
  <si>
    <t>Seat</t>
  </si>
  <si>
    <t>F Used</t>
  </si>
  <si>
    <t>1L</t>
  </si>
  <si>
    <t>1R</t>
  </si>
  <si>
    <t>2L</t>
  </si>
  <si>
    <t>2R</t>
  </si>
  <si>
    <t xml:space="preserve">3L </t>
  </si>
  <si>
    <t>Average</t>
  </si>
  <si>
    <t>Experiment 2</t>
  </si>
  <si>
    <t>Experiment 3</t>
  </si>
  <si>
    <t>Experiment 4</t>
  </si>
  <si>
    <t>Experiment 5</t>
  </si>
  <si>
    <t>Experiment 6</t>
  </si>
  <si>
    <t>Experiment 7</t>
  </si>
  <si>
    <t>Experiment 8 (original cg)</t>
  </si>
  <si>
    <t>Experiment 9 (new cg, moved passenger 3R)</t>
  </si>
  <si>
    <t>Stationary measurements elevator trim curve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</si>
</sst>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;@"/>
    <numFmt numFmtId="165" formatCode="0.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000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 style="double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1" fillId="0" borderId="0" xfId="0" applyFont="1"/>
    <xf numFmtId="0" fontId="0" fillId="0" borderId="0" xfId="0" applyProtection="1">
      <protection locked="0"/>
    </xf>
    <xf numFmtId="20" fontId="0" fillId="0" borderId="0" xfId="0" applyNumberFormat="1" applyProtection="1">
      <protection locked="0"/>
    </xf>
    <xf numFmtId="0" fontId="0" fillId="0" borderId="0" xfId="0" applyAlignment="1">
      <alignment horizontal="center"/>
    </xf>
    <xf numFmtId="21" fontId="0" fillId="0" borderId="0" xfId="0" applyNumberFormat="1" applyProtection="1">
      <protection locked="0"/>
    </xf>
    <xf numFmtId="164" fontId="0" fillId="0" borderId="0" xfId="0" applyNumberFormat="1" applyProtection="1">
      <protection locked="0"/>
    </xf>
    <xf numFmtId="0" fontId="1" fillId="0" borderId="1" xfId="0" applyFon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5" xfId="0" applyBorder="1" applyAlignment="1">
      <alignment horizontal="center"/>
    </xf>
    <xf numFmtId="0" fontId="0" fillId="0" borderId="5" xfId="0" applyBorder="1" applyProtection="1">
      <protection locked="0"/>
    </xf>
    <xf numFmtId="0" fontId="0" fillId="0" borderId="6" xfId="0" applyBorder="1"/>
    <xf numFmtId="21" fontId="0" fillId="0" borderId="7" xfId="0" applyNumberFormat="1" applyBorder="1" applyProtection="1">
      <protection locked="0"/>
    </xf>
    <xf numFmtId="2" fontId="0" fillId="0" borderId="0" xfId="0" applyNumberFormat="1" applyProtection="1">
      <protection locked="0"/>
    </xf>
    <xf numFmtId="2" fontId="0" fillId="0" borderId="5" xfId="0" applyNumberFormat="1" applyBorder="1" applyProtection="1">
      <protection locked="0"/>
    </xf>
    <xf numFmtId="0" fontId="0" fillId="0" borderId="7" xfId="0" applyBorder="1"/>
    <xf numFmtId="0" fontId="0" fillId="0" borderId="8" xfId="0" applyBorder="1"/>
    <xf numFmtId="21" fontId="0" fillId="0" borderId="0" xfId="0" applyNumberFormat="1"/>
    <xf numFmtId="2" fontId="2" fillId="2" borderId="9" xfId="0" applyNumberFormat="1" applyFont="1" applyFill="1" applyBorder="1" applyProtection="1">
      <protection locked="0"/>
    </xf>
    <xf numFmtId="0" fontId="1" fillId="0" borderId="10" xfId="0" applyFont="1" applyBorder="1"/>
    <xf numFmtId="0" fontId="0" fillId="0" borderId="11" xfId="0" applyBorder="1"/>
    <xf numFmtId="0" fontId="1" fillId="0" borderId="12" xfId="0" applyFont="1" applyBorder="1"/>
    <xf numFmtId="0" fontId="1" fillId="0" borderId="13" xfId="0" applyFont="1" applyBorder="1"/>
    <xf numFmtId="21" fontId="0" fillId="0" borderId="5" xfId="0" applyNumberFormat="1" applyBorder="1"/>
    <xf numFmtId="0" fontId="0" fillId="0" borderId="14" xfId="0" applyBorder="1"/>
    <xf numFmtId="0" fontId="0" fillId="0" borderId="15" xfId="0" applyBorder="1"/>
    <xf numFmtId="0" fontId="1" fillId="0" borderId="6" xfId="0" applyFont="1" applyBorder="1"/>
    <xf numFmtId="0" fontId="0" fillId="0" borderId="16" xfId="0" applyBorder="1" applyProtection="1">
      <protection locked="0"/>
    </xf>
    <xf numFmtId="0" fontId="1" fillId="0" borderId="5" xfId="0" applyFont="1" applyBorder="1"/>
    <xf numFmtId="21" fontId="0" fillId="0" borderId="17" xfId="0" applyNumberFormat="1" applyBorder="1" applyProtection="1">
      <protection locked="0"/>
    </xf>
    <xf numFmtId="21" fontId="0" fillId="0" borderId="5" xfId="0" applyNumberFormat="1" applyBorder="1" applyProtection="1">
      <protection locked="0"/>
    </xf>
    <xf numFmtId="2" fontId="2" fillId="2" borderId="18" xfId="0" applyNumberFormat="1" applyFont="1" applyFill="1" applyBorder="1" applyProtection="1">
      <protection locked="0"/>
    </xf>
    <xf numFmtId="0" fontId="1" fillId="0" borderId="7" xfId="0" applyFont="1" applyBorder="1"/>
    <xf numFmtId="21" fontId="1" fillId="0" borderId="8" xfId="0" applyNumberFormat="1" applyFont="1" applyBorder="1"/>
    <xf numFmtId="21" fontId="0" fillId="3" borderId="19" xfId="0" applyNumberFormat="1" applyFill="1" applyBorder="1" applyProtection="1">
      <protection locked="0"/>
    </xf>
    <xf numFmtId="21" fontId="0" fillId="3" borderId="20" xfId="0" applyNumberFormat="1" applyFill="1" applyBorder="1" applyProtection="1">
      <protection locked="0"/>
    </xf>
    <xf numFmtId="21" fontId="0" fillId="0" borderId="20" xfId="0" applyNumberFormat="1" applyBorder="1" applyProtection="1">
      <protection locked="0"/>
    </xf>
    <xf numFmtId="2" fontId="1" fillId="0" borderId="7" xfId="0" applyNumberFormat="1" applyFont="1" applyBorder="1"/>
    <xf numFmtId="21" fontId="1" fillId="0" borderId="21" xfId="0" applyNumberFormat="1" applyFont="1" applyBorder="1"/>
    <xf numFmtId="21" fontId="1" fillId="0" borderId="7" xfId="0" applyNumberFormat="1" applyFont="1" applyBorder="1"/>
    <xf numFmtId="0" fontId="0" fillId="0" borderId="12" xfId="0" applyBorder="1"/>
    <xf numFmtId="0" fontId="0" fillId="0" borderId="10" xfId="0" applyBorder="1"/>
    <xf numFmtId="21" fontId="0" fillId="0" borderId="8" xfId="0" applyNumberFormat="1" applyBorder="1" applyProtection="1">
      <protection locked="0"/>
    </xf>
    <xf numFmtId="165" fontId="0" fillId="0" borderId="0" xfId="0" applyNumberFormat="1"/>
    <xf numFmtId="165" fontId="0" fillId="0" borderId="5" xfId="0" applyNumberFormat="1" applyBorder="1"/>
    <xf numFmtId="165" fontId="0" fillId="0" borderId="0" xfId="0" applyNumberFormat="1" applyProtection="1">
      <protection locked="0"/>
    </xf>
    <xf numFmtId="165" fontId="0" fillId="0" borderId="5" xfId="0" applyNumberFormat="1" applyBorder="1" applyProtection="1">
      <protection locked="0"/>
    </xf>
    <xf numFmtId="0" fontId="0" fillId="4" borderId="0" xfId="0" applyFill="1"/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21" fontId="0" fillId="0" borderId="0" xfId="0" applyNumberFormat="1" applyBorder="1" applyProtection="1">
      <protection locked="0"/>
    </xf>
    <xf numFmtId="0" fontId="0" fillId="0" borderId="0" xfId="0" applyBorder="1" applyProtection="1">
      <protection locked="0"/>
    </xf>
    <xf numFmtId="165" fontId="0" fillId="0" borderId="0" xfId="0" applyNumberFormat="1" applyBorder="1" applyProtection="1">
      <protection locked="0"/>
    </xf>
  </cellXfs>
  <cellStyles count="1">
    <cellStyle name="Normal" xfId="0" builtinId="0"/>
  </cellStyles>
  <dxfs count="189"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464741</xdr:colOff>
      <xdr:row>5</xdr:row>
      <xdr:rowOff>44122</xdr:rowOff>
    </xdr:from>
    <xdr:to>
      <xdr:col>12</xdr:col>
      <xdr:colOff>400050</xdr:colOff>
      <xdr:row>22</xdr:row>
      <xdr:rowOff>138394</xdr:rowOff>
    </xdr:to>
    <xdr:pic>
      <xdr:nvPicPr>
        <xdr:cNvPr id="3" name="Picture 2" descr="CABIN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17566" y="996622"/>
          <a:ext cx="1802209" cy="333277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117"/>
  <sheetViews>
    <sheetView tabSelected="1" zoomScale="81" zoomScaleNormal="70" workbookViewId="0">
      <selection activeCell="V33" sqref="V33"/>
    </sheetView>
  </sheetViews>
  <sheetFormatPr defaultColWidth="8.88671875" defaultRowHeight="15" customHeight="1" x14ac:dyDescent="0.3"/>
  <cols>
    <col min="1" max="1" width="3" customWidth="1"/>
    <col min="2" max="2" width="9.44140625" customWidth="1"/>
    <col min="3" max="3" width="7" customWidth="1"/>
    <col min="4" max="4" width="9.109375" customWidth="1"/>
    <col min="5" max="6" width="7" customWidth="1"/>
    <col min="7" max="7" width="12.6640625" customWidth="1"/>
    <col min="8" max="9" width="7" customWidth="1"/>
    <col min="10" max="10" width="11" customWidth="1"/>
    <col min="11" max="12" width="7" customWidth="1"/>
    <col min="13" max="13" width="11.5546875" customWidth="1"/>
    <col min="16384" max="16384" width="8.88671875" bestFit="1" customWidth="1"/>
  </cols>
  <sheetData>
    <row r="1" spans="1:14" ht="14.4" x14ac:dyDescent="0.3">
      <c r="A1" s="1" t="s">
        <v>0</v>
      </c>
    </row>
    <row r="3" spans="1:14" ht="14.4" x14ac:dyDescent="0.3">
      <c r="A3" t="s">
        <v>1</v>
      </c>
      <c r="D3" s="6" t="s">
        <v>2</v>
      </c>
      <c r="F3" t="s">
        <v>3</v>
      </c>
      <c r="H3" s="3">
        <v>0.58472222222222225</v>
      </c>
    </row>
    <row r="4" spans="1:14" ht="14.4" x14ac:dyDescent="0.3">
      <c r="A4" t="s">
        <v>4</v>
      </c>
      <c r="D4" s="2">
        <v>3</v>
      </c>
      <c r="F4" t="s">
        <v>5</v>
      </c>
      <c r="H4" s="3">
        <v>0.63124999999999998</v>
      </c>
      <c r="J4" t="s">
        <v>6</v>
      </c>
      <c r="K4">
        <f>D18+1684.33+9197</f>
        <v>14981.33</v>
      </c>
      <c r="L4" t="s">
        <v>7</v>
      </c>
      <c r="M4">
        <f>K4/2.205</f>
        <v>6794.2539682539682</v>
      </c>
      <c r="N4" t="s">
        <v>8</v>
      </c>
    </row>
    <row r="6" spans="1:14" ht="14.4" x14ac:dyDescent="0.3">
      <c r="A6" s="1" t="s">
        <v>9</v>
      </c>
      <c r="B6" s="1"/>
    </row>
    <row r="7" spans="1:14" ht="14.4" x14ac:dyDescent="0.3">
      <c r="D7" t="s">
        <v>10</v>
      </c>
      <c r="H7" t="s">
        <v>11</v>
      </c>
    </row>
    <row r="8" spans="1:14" ht="14.4" x14ac:dyDescent="0.3">
      <c r="A8" t="s">
        <v>12</v>
      </c>
      <c r="D8" s="2">
        <v>1</v>
      </c>
      <c r="H8" s="2">
        <v>91</v>
      </c>
    </row>
    <row r="9" spans="1:14" ht="14.4" x14ac:dyDescent="0.3">
      <c r="A9" t="s">
        <v>13</v>
      </c>
      <c r="D9" s="2">
        <v>2</v>
      </c>
      <c r="H9" s="2">
        <v>96</v>
      </c>
    </row>
    <row r="10" spans="1:14" ht="14.4" x14ac:dyDescent="0.3">
      <c r="A10" t="s">
        <v>14</v>
      </c>
      <c r="D10" s="2">
        <v>3</v>
      </c>
      <c r="H10" s="2">
        <v>85</v>
      </c>
    </row>
    <row r="11" spans="1:14" ht="14.4" x14ac:dyDescent="0.3">
      <c r="A11" t="s">
        <v>15</v>
      </c>
      <c r="D11" s="2">
        <v>4</v>
      </c>
      <c r="H11" s="2">
        <v>58</v>
      </c>
    </row>
    <row r="12" spans="1:14" ht="14.4" x14ac:dyDescent="0.3">
      <c r="A12" t="s">
        <v>16</v>
      </c>
      <c r="D12" s="2">
        <v>5</v>
      </c>
      <c r="H12" s="2">
        <v>70</v>
      </c>
    </row>
    <row r="13" spans="1:14" ht="14.4" x14ac:dyDescent="0.3">
      <c r="A13" t="s">
        <v>17</v>
      </c>
      <c r="D13" s="2">
        <v>6</v>
      </c>
      <c r="H13" s="2">
        <v>75</v>
      </c>
    </row>
    <row r="14" spans="1:14" ht="14.4" x14ac:dyDescent="0.3">
      <c r="A14" t="s">
        <v>18</v>
      </c>
      <c r="D14" s="2">
        <v>7</v>
      </c>
      <c r="H14" s="2">
        <v>87</v>
      </c>
    </row>
    <row r="15" spans="1:14" ht="14.4" x14ac:dyDescent="0.3">
      <c r="A15" t="s">
        <v>19</v>
      </c>
      <c r="D15" s="2">
        <v>8</v>
      </c>
      <c r="H15" s="2">
        <v>77</v>
      </c>
    </row>
    <row r="16" spans="1:14" ht="14.4" x14ac:dyDescent="0.3">
      <c r="A16" t="s">
        <v>20</v>
      </c>
      <c r="D16" s="2">
        <v>9</v>
      </c>
      <c r="H16" s="2">
        <v>125</v>
      </c>
    </row>
    <row r="18" spans="1:24" ht="14.4" x14ac:dyDescent="0.3">
      <c r="A18" t="s">
        <v>21</v>
      </c>
      <c r="D18" s="2">
        <v>4100</v>
      </c>
      <c r="E18">
        <f>D18/2.205</f>
        <v>1859.4104308390022</v>
      </c>
      <c r="F18" t="s">
        <v>8</v>
      </c>
    </row>
    <row r="20" spans="1:24" ht="14.4" x14ac:dyDescent="0.3"/>
    <row r="21" spans="1:24" ht="14.4" x14ac:dyDescent="0.3"/>
    <row r="22" spans="1:24" ht="14.4" x14ac:dyDescent="0.3"/>
    <row r="23" spans="1:24" ht="14.4" x14ac:dyDescent="0.3"/>
    <row r="24" spans="1:24" ht="14.4" x14ac:dyDescent="0.3"/>
    <row r="25" spans="1:24" ht="14.4" x14ac:dyDescent="0.3"/>
    <row r="26" spans="1:24" thickBot="1" x14ac:dyDescent="0.35"/>
    <row r="27" spans="1:24" ht="14.4" x14ac:dyDescent="0.3">
      <c r="A27" s="7" t="s">
        <v>22</v>
      </c>
      <c r="B27" s="8"/>
      <c r="C27" s="8"/>
      <c r="D27" s="8"/>
      <c r="E27" s="8"/>
      <c r="F27" s="8"/>
      <c r="G27" s="8"/>
      <c r="H27" s="8"/>
      <c r="I27" s="8"/>
      <c r="J27" s="9"/>
      <c r="L27" s="7" t="s">
        <v>85</v>
      </c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9"/>
    </row>
    <row r="28" spans="1:24" ht="14.4" x14ac:dyDescent="0.3">
      <c r="A28" s="10"/>
      <c r="J28" s="11"/>
      <c r="L28" s="10"/>
      <c r="X28" s="11"/>
    </row>
    <row r="29" spans="1:24" ht="14.4" x14ac:dyDescent="0.3">
      <c r="A29" s="10" t="s">
        <v>23</v>
      </c>
      <c r="E29" t="s">
        <v>24</v>
      </c>
      <c r="J29" s="11"/>
      <c r="L29" s="10" t="s">
        <v>23</v>
      </c>
      <c r="P29" t="s">
        <v>24</v>
      </c>
      <c r="X29" s="11"/>
    </row>
    <row r="30" spans="1:24" ht="14.4" x14ac:dyDescent="0.3">
      <c r="A30" s="10"/>
      <c r="J30" s="11"/>
      <c r="L30" s="10"/>
      <c r="X30" s="11"/>
    </row>
    <row r="31" spans="1:24" thickBot="1" x14ac:dyDescent="0.35">
      <c r="A31" s="10" t="s">
        <v>25</v>
      </c>
      <c r="B31" t="s">
        <v>26</v>
      </c>
      <c r="C31" t="s">
        <v>27</v>
      </c>
      <c r="D31" t="s">
        <v>28</v>
      </c>
      <c r="E31" t="s">
        <v>29</v>
      </c>
      <c r="F31" t="s">
        <v>30</v>
      </c>
      <c r="G31" t="s">
        <v>31</v>
      </c>
      <c r="H31" t="s">
        <v>32</v>
      </c>
      <c r="I31" t="s">
        <v>33</v>
      </c>
      <c r="J31" s="11" t="s">
        <v>34</v>
      </c>
      <c r="L31" s="43" t="s">
        <v>25</v>
      </c>
      <c r="M31" s="44" t="s">
        <v>26</v>
      </c>
      <c r="N31" s="44" t="s">
        <v>27</v>
      </c>
      <c r="O31" s="22" t="s">
        <v>28</v>
      </c>
      <c r="P31" s="22" t="s">
        <v>29</v>
      </c>
      <c r="Q31" s="22" t="s">
        <v>30</v>
      </c>
      <c r="R31" s="22" t="s">
        <v>35</v>
      </c>
      <c r="S31" s="22" t="s">
        <v>36</v>
      </c>
      <c r="T31" s="22" t="s">
        <v>37</v>
      </c>
      <c r="U31" s="22" t="s">
        <v>31</v>
      </c>
      <c r="V31" s="22" t="s">
        <v>32</v>
      </c>
      <c r="W31" s="22" t="s">
        <v>38</v>
      </c>
      <c r="X31" s="25" t="s">
        <v>34</v>
      </c>
    </row>
    <row r="32" spans="1:24" thickTop="1" x14ac:dyDescent="0.3">
      <c r="A32" s="10"/>
      <c r="B32" s="4" t="s">
        <v>39</v>
      </c>
      <c r="C32" s="4" t="s">
        <v>40</v>
      </c>
      <c r="D32" s="4" t="s">
        <v>41</v>
      </c>
      <c r="E32" s="4" t="s">
        <v>42</v>
      </c>
      <c r="F32" s="4" t="s">
        <v>43</v>
      </c>
      <c r="G32" s="4" t="s">
        <v>44</v>
      </c>
      <c r="H32" s="4" t="s">
        <v>44</v>
      </c>
      <c r="I32" s="4" t="s">
        <v>45</v>
      </c>
      <c r="J32" s="12" t="s">
        <v>46</v>
      </c>
      <c r="L32" s="10"/>
      <c r="M32" s="4" t="s">
        <v>39</v>
      </c>
      <c r="N32" s="4" t="s">
        <v>40</v>
      </c>
      <c r="O32" s="4" t="s">
        <v>41</v>
      </c>
      <c r="P32" s="4" t="s">
        <v>42</v>
      </c>
      <c r="Q32" s="4" t="s">
        <v>43</v>
      </c>
      <c r="R32" s="4" t="s">
        <v>43</v>
      </c>
      <c r="S32" s="4" t="s">
        <v>43</v>
      </c>
      <c r="T32" s="4" t="s">
        <v>47</v>
      </c>
      <c r="U32" s="4" t="s">
        <v>44</v>
      </c>
      <c r="V32" s="4" t="s">
        <v>44</v>
      </c>
      <c r="W32" s="4" t="s">
        <v>45</v>
      </c>
      <c r="X32" s="12" t="s">
        <v>46</v>
      </c>
    </row>
    <row r="33" spans="1:24" ht="14.4" x14ac:dyDescent="0.3">
      <c r="A33" s="10"/>
      <c r="J33" s="11"/>
      <c r="L33" s="10"/>
      <c r="X33" s="11"/>
    </row>
    <row r="34" spans="1:24" ht="14.4" x14ac:dyDescent="0.3">
      <c r="A34" s="10">
        <v>1</v>
      </c>
      <c r="B34" s="5">
        <v>1.0750385802469136E-2</v>
      </c>
      <c r="C34" s="2" t="s">
        <v>48</v>
      </c>
      <c r="D34" s="46">
        <v>9000</v>
      </c>
      <c r="E34" s="46">
        <v>247.5</v>
      </c>
      <c r="F34" s="46">
        <v>1.5999999999999999</v>
      </c>
      <c r="G34" s="46">
        <v>747</v>
      </c>
      <c r="H34" s="46">
        <v>788</v>
      </c>
      <c r="I34" s="46">
        <v>331.5</v>
      </c>
      <c r="J34" s="47">
        <v>8</v>
      </c>
      <c r="L34" s="10">
        <v>1</v>
      </c>
      <c r="M34" s="5">
        <v>2.2187500000000002E-2</v>
      </c>
      <c r="N34" s="2" t="s">
        <v>48</v>
      </c>
      <c r="O34" s="48">
        <v>7986.6666666666697</v>
      </c>
      <c r="P34" s="48">
        <v>160.5</v>
      </c>
      <c r="Q34" s="48">
        <v>5.3999999999999995</v>
      </c>
      <c r="R34" s="48">
        <v>-0.3</v>
      </c>
      <c r="S34" s="48">
        <v>2.6</v>
      </c>
      <c r="T34" s="48">
        <v>-0.66666666666666663</v>
      </c>
      <c r="U34" s="48">
        <v>454</v>
      </c>
      <c r="V34" s="48">
        <v>486.5</v>
      </c>
      <c r="W34" s="48">
        <v>585</v>
      </c>
      <c r="X34" s="49">
        <v>4.5</v>
      </c>
    </row>
    <row r="35" spans="1:24" ht="14.4" x14ac:dyDescent="0.3">
      <c r="A35" s="10">
        <v>2</v>
      </c>
      <c r="B35" s="5">
        <v>1.2320601851851853E-2</v>
      </c>
      <c r="C35" s="2" t="s">
        <v>48</v>
      </c>
      <c r="D35" s="48">
        <v>8990</v>
      </c>
      <c r="E35" s="48">
        <v>218</v>
      </c>
      <c r="F35" s="48">
        <v>2.5</v>
      </c>
      <c r="G35" s="48">
        <v>628.5</v>
      </c>
      <c r="H35" s="48">
        <v>649</v>
      </c>
      <c r="I35" s="48">
        <v>375.16666666666669</v>
      </c>
      <c r="J35" s="49">
        <v>6</v>
      </c>
      <c r="L35" s="10">
        <v>2</v>
      </c>
      <c r="M35" s="5">
        <v>2.3206018518518518E-2</v>
      </c>
      <c r="N35" s="2" t="s">
        <v>48</v>
      </c>
      <c r="O35" s="48">
        <v>8200</v>
      </c>
      <c r="P35" s="48">
        <v>150</v>
      </c>
      <c r="Q35" s="48">
        <v>6.333333333333333</v>
      </c>
      <c r="R35" s="48">
        <v>-0.8</v>
      </c>
      <c r="S35" s="48">
        <v>2.6</v>
      </c>
      <c r="T35" s="48">
        <v>-14</v>
      </c>
      <c r="U35" s="48">
        <v>449.5</v>
      </c>
      <c r="V35" s="48">
        <v>483</v>
      </c>
      <c r="W35" s="48">
        <v>608.5</v>
      </c>
      <c r="X35" s="49">
        <v>3.8</v>
      </c>
    </row>
    <row r="36" spans="1:24" ht="14.4" x14ac:dyDescent="0.3">
      <c r="A36" s="10">
        <v>3</v>
      </c>
      <c r="B36" s="5">
        <v>1.3597608024691357E-2</v>
      </c>
      <c r="C36" s="2" t="s">
        <v>48</v>
      </c>
      <c r="D36" s="48">
        <v>8990</v>
      </c>
      <c r="E36" s="48">
        <v>190.66666666666666</v>
      </c>
      <c r="F36" s="48">
        <v>3.5</v>
      </c>
      <c r="G36" s="48">
        <v>535</v>
      </c>
      <c r="H36" s="48">
        <v>558.5</v>
      </c>
      <c r="I36" s="48">
        <v>406.33333333333331</v>
      </c>
      <c r="J36" s="49">
        <v>4.2</v>
      </c>
      <c r="L36" s="10">
        <v>3</v>
      </c>
      <c r="M36" s="5">
        <v>2.4349537037037038E-2</v>
      </c>
      <c r="N36" s="2" t="s">
        <v>48</v>
      </c>
      <c r="O36" s="48">
        <v>8495</v>
      </c>
      <c r="P36" s="48">
        <v>140.33333333333334</v>
      </c>
      <c r="Q36" s="48">
        <v>7.3666666666666671</v>
      </c>
      <c r="R36" s="48">
        <v>-1</v>
      </c>
      <c r="S36" s="48">
        <v>2.6</v>
      </c>
      <c r="T36" s="48">
        <v>-26.333333333333332</v>
      </c>
      <c r="U36" s="48">
        <v>442</v>
      </c>
      <c r="V36" s="48">
        <v>478</v>
      </c>
      <c r="W36" s="48">
        <v>635</v>
      </c>
      <c r="X36" s="49">
        <v>2.9</v>
      </c>
    </row>
    <row r="37" spans="1:24" ht="14.4" x14ac:dyDescent="0.3">
      <c r="A37" s="10">
        <v>4</v>
      </c>
      <c r="B37" s="5">
        <v>1.5196759259259259E-2</v>
      </c>
      <c r="C37" s="2" t="s">
        <v>48</v>
      </c>
      <c r="D37" s="48">
        <v>9000</v>
      </c>
      <c r="E37" s="48">
        <v>159.33333333333334</v>
      </c>
      <c r="F37" s="48">
        <v>5.6</v>
      </c>
      <c r="G37" s="48">
        <v>469.5</v>
      </c>
      <c r="H37" s="48">
        <v>496.7</v>
      </c>
      <c r="I37" s="48">
        <v>436.5</v>
      </c>
      <c r="J37" s="49">
        <v>2.5</v>
      </c>
      <c r="L37" s="10">
        <v>4</v>
      </c>
      <c r="M37" s="5">
        <v>2.5289351851851848E-2</v>
      </c>
      <c r="N37" s="2" t="s">
        <v>48</v>
      </c>
      <c r="O37" s="48">
        <v>8786.6666666666661</v>
      </c>
      <c r="P37" s="48">
        <v>130.16666666666666</v>
      </c>
      <c r="Q37" s="48">
        <v>8.7000000000000011</v>
      </c>
      <c r="R37" s="48">
        <v>-1.85</v>
      </c>
      <c r="S37" s="48">
        <v>2.6</v>
      </c>
      <c r="T37" s="48">
        <v>-38.333333333333336</v>
      </c>
      <c r="U37" s="48">
        <v>439.5</v>
      </c>
      <c r="V37" s="48">
        <v>471.5</v>
      </c>
      <c r="W37" s="48">
        <v>658.5</v>
      </c>
      <c r="X37" s="49">
        <v>2</v>
      </c>
    </row>
    <row r="38" spans="1:24" ht="14.4" x14ac:dyDescent="0.3">
      <c r="A38" s="10">
        <v>5</v>
      </c>
      <c r="B38" s="5">
        <v>1.7004243827160492E-2</v>
      </c>
      <c r="C38" s="2" t="s">
        <v>48</v>
      </c>
      <c r="D38" s="48">
        <v>8993.3333333333339</v>
      </c>
      <c r="E38" s="48">
        <v>136.66666666666666</v>
      </c>
      <c r="F38" s="48">
        <v>7.9333333333333327</v>
      </c>
      <c r="G38" s="48">
        <v>441</v>
      </c>
      <c r="H38" s="48">
        <v>458.66666666666669</v>
      </c>
      <c r="I38" s="48">
        <v>472.83333333333331</v>
      </c>
      <c r="J38" s="49">
        <v>1.6500000000000001</v>
      </c>
      <c r="L38" s="10">
        <v>5</v>
      </c>
      <c r="M38" s="5">
        <v>2.7717592592592592E-2</v>
      </c>
      <c r="N38" s="2" t="s">
        <v>48</v>
      </c>
      <c r="O38" s="48">
        <v>8090</v>
      </c>
      <c r="P38" s="48">
        <v>171</v>
      </c>
      <c r="Q38" s="48">
        <v>4.6000000000000005</v>
      </c>
      <c r="R38" s="48">
        <v>0.1</v>
      </c>
      <c r="S38" s="48">
        <v>2.6</v>
      </c>
      <c r="T38" s="48">
        <v>20</v>
      </c>
      <c r="U38" s="48">
        <v>452</v>
      </c>
      <c r="V38" s="48">
        <v>487</v>
      </c>
      <c r="W38" s="48">
        <v>718</v>
      </c>
      <c r="X38" s="49">
        <v>5.3</v>
      </c>
    </row>
    <row r="39" spans="1:24" ht="14.4" x14ac:dyDescent="0.3">
      <c r="A39" s="10">
        <v>6</v>
      </c>
      <c r="B39" s="5">
        <v>1.8694058641975309E-2</v>
      </c>
      <c r="C39" s="2" t="s">
        <v>48</v>
      </c>
      <c r="D39" s="48">
        <v>8996.6666666666661</v>
      </c>
      <c r="E39" s="48">
        <v>118.33333333333333</v>
      </c>
      <c r="F39" s="48">
        <v>10.850000000000001</v>
      </c>
      <c r="G39" s="48">
        <v>447.66666666666669</v>
      </c>
      <c r="H39" s="48">
        <v>481.33333333333331</v>
      </c>
      <c r="I39" s="48">
        <v>510.16666666666669</v>
      </c>
      <c r="J39" s="49">
        <v>0.79999999999999993</v>
      </c>
      <c r="L39" s="10">
        <v>6</v>
      </c>
      <c r="M39" s="5">
        <v>2.854166666666667E-2</v>
      </c>
      <c r="N39" s="2" t="s">
        <v>48</v>
      </c>
      <c r="O39" s="48">
        <v>7815</v>
      </c>
      <c r="P39" s="48">
        <v>179</v>
      </c>
      <c r="Q39" s="48">
        <v>3.8666666666666667</v>
      </c>
      <c r="R39" s="48">
        <v>0.3</v>
      </c>
      <c r="S39" s="48">
        <v>2.6</v>
      </c>
      <c r="T39" s="48">
        <v>35.75</v>
      </c>
      <c r="U39" s="48">
        <v>457.5</v>
      </c>
      <c r="V39" s="48">
        <v>492.5</v>
      </c>
      <c r="W39" s="48">
        <v>746</v>
      </c>
      <c r="X39" s="49">
        <v>6.3</v>
      </c>
    </row>
    <row r="40" spans="1:24" thickBot="1" x14ac:dyDescent="0.35">
      <c r="A40" s="14"/>
      <c r="B40" s="18"/>
      <c r="C40" s="18" t="s">
        <v>49</v>
      </c>
      <c r="D40" s="18"/>
      <c r="E40" s="18"/>
      <c r="F40" s="18"/>
      <c r="G40" s="18"/>
      <c r="H40" s="18"/>
      <c r="I40" s="18"/>
      <c r="J40" s="19"/>
      <c r="L40" s="10">
        <v>7</v>
      </c>
      <c r="M40" s="5">
        <v>2.9571759259259256E-2</v>
      </c>
      <c r="N40" s="2" t="s">
        <v>48</v>
      </c>
      <c r="O40" s="48">
        <v>7298.333333333333</v>
      </c>
      <c r="P40" s="48">
        <v>188.16666666666666</v>
      </c>
      <c r="Q40" s="48">
        <v>3.5166666666666671</v>
      </c>
      <c r="R40" s="48">
        <v>0.64999999999999991</v>
      </c>
      <c r="S40" s="48">
        <v>2.6</v>
      </c>
      <c r="T40" s="48">
        <v>57.5</v>
      </c>
      <c r="U40" s="48">
        <v>466</v>
      </c>
      <c r="V40" s="48">
        <v>499.5</v>
      </c>
      <c r="W40" s="48">
        <v>752</v>
      </c>
      <c r="X40" s="49">
        <v>7.5</v>
      </c>
    </row>
    <row r="41" spans="1:24" ht="14.4" x14ac:dyDescent="0.3">
      <c r="L41" s="10">
        <v>8</v>
      </c>
      <c r="M41" s="5">
        <v>3.0858410493827163E-2</v>
      </c>
      <c r="N41" s="2" t="s">
        <v>48</v>
      </c>
      <c r="O41" s="48">
        <v>7683.333333333333</v>
      </c>
      <c r="P41" s="48">
        <v>160.91666666666666</v>
      </c>
      <c r="Q41" s="48">
        <v>5.2666666666666666</v>
      </c>
      <c r="R41" s="48">
        <v>-0.3</v>
      </c>
      <c r="S41" s="48">
        <v>2.6</v>
      </c>
      <c r="T41" s="48">
        <v>-1</v>
      </c>
      <c r="U41" s="48">
        <v>457.5</v>
      </c>
      <c r="V41" s="48">
        <v>491</v>
      </c>
      <c r="W41" s="48">
        <v>782</v>
      </c>
      <c r="X41" s="49">
        <v>5.3</v>
      </c>
    </row>
    <row r="42" spans="1:24" ht="14.4" x14ac:dyDescent="0.3">
      <c r="L42" s="10">
        <v>9</v>
      </c>
      <c r="M42" s="57">
        <v>3.2074652777777782E-2</v>
      </c>
      <c r="N42" s="58" t="s">
        <v>48</v>
      </c>
      <c r="O42" s="59">
        <v>7704</v>
      </c>
      <c r="P42" s="59">
        <v>161.69999999999999</v>
      </c>
      <c r="Q42" s="59">
        <v>5.3</v>
      </c>
      <c r="R42" s="59">
        <v>-0.95</v>
      </c>
      <c r="S42" s="59">
        <v>2.6</v>
      </c>
      <c r="T42" s="59">
        <v>-35.75</v>
      </c>
      <c r="U42" s="59">
        <v>455.5</v>
      </c>
      <c r="V42" s="59">
        <v>490.5</v>
      </c>
      <c r="W42" s="59">
        <v>810</v>
      </c>
      <c r="X42" s="49">
        <v>5.3</v>
      </c>
    </row>
    <row r="43" spans="1:24" thickBot="1" x14ac:dyDescent="0.35">
      <c r="L43" s="14"/>
      <c r="M43" s="18"/>
      <c r="N43" s="18" t="s">
        <v>49</v>
      </c>
      <c r="O43" s="18"/>
      <c r="P43" s="18"/>
      <c r="Q43" s="18"/>
      <c r="R43" s="18"/>
      <c r="S43" s="18"/>
      <c r="T43" s="18"/>
      <c r="U43" s="18"/>
      <c r="V43" s="18"/>
      <c r="W43" s="18"/>
      <c r="X43" s="19"/>
    </row>
    <row r="44" spans="1:24" ht="14.4" x14ac:dyDescent="0.3"/>
    <row r="45" spans="1:24" thickBot="1" x14ac:dyDescent="0.35"/>
    <row r="46" spans="1:24" ht="14.4" x14ac:dyDescent="0.3">
      <c r="A46" s="7" t="s">
        <v>50</v>
      </c>
      <c r="B46" s="8"/>
      <c r="C46" s="8"/>
      <c r="D46" s="8"/>
      <c r="E46" s="8"/>
      <c r="F46" s="8"/>
      <c r="G46" s="8"/>
      <c r="H46" s="8"/>
      <c r="I46" s="8"/>
      <c r="J46" s="8"/>
      <c r="K46" s="8"/>
      <c r="L46" s="8"/>
      <c r="M46" s="9"/>
    </row>
    <row r="47" spans="1:24" ht="14.4" x14ac:dyDescent="0.3">
      <c r="A47" s="10" t="s">
        <v>51</v>
      </c>
      <c r="C47" s="2" t="s">
        <v>52</v>
      </c>
      <c r="M47" s="11"/>
    </row>
    <row r="48" spans="1:24" ht="14.4" x14ac:dyDescent="0.3">
      <c r="A48" s="10" t="s">
        <v>53</v>
      </c>
      <c r="C48" s="2" t="s">
        <v>54</v>
      </c>
      <c r="E48" t="s">
        <v>55</v>
      </c>
      <c r="H48" s="2" t="s">
        <v>56</v>
      </c>
      <c r="M48" s="11"/>
    </row>
    <row r="49" spans="1:13" ht="14.4" x14ac:dyDescent="0.3">
      <c r="A49" s="10"/>
      <c r="M49" s="11"/>
    </row>
    <row r="50" spans="1:13" ht="14.4" x14ac:dyDescent="0.3">
      <c r="A50" s="10" t="s">
        <v>25</v>
      </c>
      <c r="B50" t="s">
        <v>26</v>
      </c>
      <c r="C50" t="s">
        <v>27</v>
      </c>
      <c r="D50" t="s">
        <v>28</v>
      </c>
      <c r="E50" t="s">
        <v>29</v>
      </c>
      <c r="F50" t="s">
        <v>30</v>
      </c>
      <c r="G50" t="s">
        <v>35</v>
      </c>
      <c r="H50" t="s">
        <v>36</v>
      </c>
      <c r="I50" t="s">
        <v>37</v>
      </c>
      <c r="J50" t="s">
        <v>31</v>
      </c>
      <c r="K50" t="s">
        <v>32</v>
      </c>
      <c r="L50" t="s">
        <v>33</v>
      </c>
      <c r="M50" s="11" t="s">
        <v>34</v>
      </c>
    </row>
    <row r="51" spans="1:13" ht="14.4" x14ac:dyDescent="0.3">
      <c r="A51" s="10"/>
      <c r="B51" s="4" t="s">
        <v>57</v>
      </c>
      <c r="C51" s="4" t="s">
        <v>40</v>
      </c>
      <c r="D51" s="4" t="s">
        <v>41</v>
      </c>
      <c r="E51" s="4" t="s">
        <v>42</v>
      </c>
      <c r="F51" s="4" t="s">
        <v>43</v>
      </c>
      <c r="G51" s="4" t="s">
        <v>43</v>
      </c>
      <c r="H51" s="4" t="s">
        <v>43</v>
      </c>
      <c r="I51" s="4" t="s">
        <v>47</v>
      </c>
      <c r="J51" s="4" t="s">
        <v>44</v>
      </c>
      <c r="K51" s="4" t="s">
        <v>44</v>
      </c>
      <c r="L51" s="4" t="s">
        <v>45</v>
      </c>
      <c r="M51" s="12" t="s">
        <v>46</v>
      </c>
    </row>
    <row r="52" spans="1:13" ht="14.4" x14ac:dyDescent="0.3">
      <c r="A52" s="10">
        <v>1</v>
      </c>
      <c r="B52" s="5">
        <v>3.0858410493827163E-2</v>
      </c>
      <c r="C52" s="2" t="s">
        <v>48</v>
      </c>
      <c r="D52" s="48">
        <v>7683.333333333333</v>
      </c>
      <c r="E52" s="48">
        <v>160.91666666666666</v>
      </c>
      <c r="F52" s="48">
        <v>5.2666666666666666</v>
      </c>
      <c r="G52" s="48">
        <v>-0.3</v>
      </c>
      <c r="H52" s="48">
        <v>2.6</v>
      </c>
      <c r="I52" s="48">
        <v>-1</v>
      </c>
      <c r="J52" s="48">
        <v>457.5</v>
      </c>
      <c r="K52" s="48">
        <v>491</v>
      </c>
      <c r="L52" s="48">
        <v>782</v>
      </c>
      <c r="M52" s="49">
        <v>5.3</v>
      </c>
    </row>
    <row r="53" spans="1:13" ht="14.4" x14ac:dyDescent="0.3">
      <c r="A53" s="10">
        <v>2</v>
      </c>
      <c r="B53" s="5">
        <v>3.2074652777777782E-2</v>
      </c>
      <c r="C53" s="2" t="s">
        <v>48</v>
      </c>
      <c r="D53" s="48">
        <v>7704</v>
      </c>
      <c r="E53" s="48">
        <v>161.69999999999999</v>
      </c>
      <c r="F53" s="48">
        <v>5.3</v>
      </c>
      <c r="G53" s="48">
        <v>-0.95</v>
      </c>
      <c r="H53" s="48">
        <v>2.6</v>
      </c>
      <c r="I53" s="48">
        <v>-35.75</v>
      </c>
      <c r="J53" s="48">
        <v>455.5</v>
      </c>
      <c r="K53" s="48">
        <v>490.5</v>
      </c>
      <c r="L53" s="48">
        <v>810</v>
      </c>
      <c r="M53" s="49">
        <v>5.3</v>
      </c>
    </row>
    <row r="54" spans="1:13" thickBot="1" x14ac:dyDescent="0.35">
      <c r="A54" s="14"/>
      <c r="B54" s="18"/>
      <c r="C54" s="18" t="s">
        <v>49</v>
      </c>
      <c r="D54" s="18"/>
      <c r="E54" s="18"/>
      <c r="F54" s="18"/>
      <c r="G54" s="18"/>
      <c r="H54" s="18"/>
      <c r="I54" s="18"/>
      <c r="J54" s="18"/>
      <c r="K54" s="18"/>
      <c r="L54" s="18"/>
      <c r="M54" s="19"/>
    </row>
    <row r="55" spans="1:13" thickBot="1" x14ac:dyDescent="0.35"/>
    <row r="56" spans="1:13" ht="14.4" x14ac:dyDescent="0.3">
      <c r="A56" s="7" t="s">
        <v>58</v>
      </c>
      <c r="B56" s="8"/>
      <c r="C56" s="8"/>
      <c r="D56" s="8"/>
      <c r="E56" s="8"/>
      <c r="F56" s="8"/>
      <c r="G56" s="8"/>
      <c r="H56" s="8"/>
      <c r="I56" s="8"/>
      <c r="J56" s="9"/>
    </row>
    <row r="57" spans="1:13" ht="14.4" x14ac:dyDescent="0.3">
      <c r="A57" s="10"/>
      <c r="J57" s="11"/>
    </row>
    <row r="58" spans="1:13" ht="14.4" x14ac:dyDescent="0.3">
      <c r="A58" s="10"/>
      <c r="D58" t="s">
        <v>59</v>
      </c>
      <c r="G58" t="s">
        <v>59</v>
      </c>
      <c r="J58" s="11" t="s">
        <v>59</v>
      </c>
    </row>
    <row r="59" spans="1:13" ht="14.4" x14ac:dyDescent="0.3">
      <c r="A59" s="10"/>
      <c r="D59" t="s">
        <v>57</v>
      </c>
      <c r="G59" t="s">
        <v>57</v>
      </c>
      <c r="J59" s="11" t="s">
        <v>57</v>
      </c>
    </row>
    <row r="60" spans="1:13" ht="14.4" x14ac:dyDescent="0.3">
      <c r="A60" s="10" t="s">
        <v>60</v>
      </c>
      <c r="D60" s="5">
        <v>3.2754629629629627E-2</v>
      </c>
      <c r="E60" t="s">
        <v>61</v>
      </c>
      <c r="G60" s="5">
        <v>3.726851851851852E-2</v>
      </c>
      <c r="H60" t="s">
        <v>62</v>
      </c>
      <c r="J60" s="33">
        <v>3.6111111111111108E-2</v>
      </c>
    </row>
    <row r="61" spans="1:13" thickBot="1" x14ac:dyDescent="0.35">
      <c r="A61" s="14" t="s">
        <v>63</v>
      </c>
      <c r="B61" s="18"/>
      <c r="C61" s="18"/>
      <c r="D61" s="15">
        <v>3.5185185185185187E-2</v>
      </c>
      <c r="E61" s="18" t="s">
        <v>64</v>
      </c>
      <c r="F61" s="18"/>
      <c r="G61" s="15">
        <v>3.8078703703703705E-2</v>
      </c>
      <c r="H61" s="18" t="s">
        <v>65</v>
      </c>
      <c r="I61" s="18"/>
      <c r="J61" s="45">
        <v>4.0162037037037038E-2</v>
      </c>
    </row>
    <row r="62" spans="1:13" ht="14.4" x14ac:dyDescent="0.3"/>
    <row r="63" spans="1:13" ht="14.4" x14ac:dyDescent="0.3"/>
    <row r="64" spans="1:13" ht="14.4" x14ac:dyDescent="0.3"/>
    <row r="65" ht="14.4" x14ac:dyDescent="0.3"/>
    <row r="66" ht="14.4" x14ac:dyDescent="0.3"/>
    <row r="67" ht="14.4" x14ac:dyDescent="0.3"/>
    <row r="68" ht="14.4" x14ac:dyDescent="0.3"/>
    <row r="69" ht="14.4" x14ac:dyDescent="0.3"/>
    <row r="70" ht="14.4" x14ac:dyDescent="0.3"/>
    <row r="71" ht="14.4" x14ac:dyDescent="0.3"/>
    <row r="72" ht="14.4" x14ac:dyDescent="0.3"/>
    <row r="73" ht="14.4" x14ac:dyDescent="0.3"/>
    <row r="74" ht="14.4" x14ac:dyDescent="0.3"/>
    <row r="75" ht="14.4" x14ac:dyDescent="0.3"/>
    <row r="76" ht="14.4" x14ac:dyDescent="0.3"/>
    <row r="77" ht="14.4" x14ac:dyDescent="0.3"/>
    <row r="78" ht="14.4" x14ac:dyDescent="0.3"/>
    <row r="79" ht="14.4" x14ac:dyDescent="0.3"/>
    <row r="80" ht="14.4" x14ac:dyDescent="0.3"/>
    <row r="81" ht="14.4" x14ac:dyDescent="0.3"/>
    <row r="82" ht="14.4" x14ac:dyDescent="0.3"/>
    <row r="83" ht="14.4" x14ac:dyDescent="0.3"/>
    <row r="84" ht="14.4" x14ac:dyDescent="0.3"/>
    <row r="85" ht="14.4" x14ac:dyDescent="0.3"/>
    <row r="87" ht="14.4" x14ac:dyDescent="0.3"/>
    <row r="88" ht="14.4" x14ac:dyDescent="0.3"/>
    <row r="89" ht="14.4" x14ac:dyDescent="0.3"/>
    <row r="90" ht="14.4" x14ac:dyDescent="0.3"/>
    <row r="91" ht="14.4" x14ac:dyDescent="0.3"/>
    <row r="92" ht="14.4" x14ac:dyDescent="0.3"/>
    <row r="93" ht="14.4" x14ac:dyDescent="0.3"/>
    <row r="94" ht="14.4" x14ac:dyDescent="0.3"/>
    <row r="95" ht="14.4" x14ac:dyDescent="0.3"/>
    <row r="96" ht="14.4" x14ac:dyDescent="0.3"/>
    <row r="97" ht="14.4" x14ac:dyDescent="0.3"/>
    <row r="98" ht="14.4" x14ac:dyDescent="0.3"/>
    <row r="99" ht="14.4" x14ac:dyDescent="0.3"/>
    <row r="100" ht="14.4" x14ac:dyDescent="0.3"/>
    <row r="101" ht="14.4" x14ac:dyDescent="0.3"/>
    <row r="102" ht="14.4" x14ac:dyDescent="0.3"/>
    <row r="103" ht="14.4" x14ac:dyDescent="0.3"/>
    <row r="104" ht="14.4" x14ac:dyDescent="0.3"/>
    <row r="105" ht="14.4" x14ac:dyDescent="0.3"/>
    <row r="106" ht="14.4" x14ac:dyDescent="0.3"/>
    <row r="107" ht="14.4" x14ac:dyDescent="0.3"/>
    <row r="108" ht="14.4" x14ac:dyDescent="0.3"/>
    <row r="109" ht="14.4" x14ac:dyDescent="0.3"/>
    <row r="110" ht="14.4" x14ac:dyDescent="0.3"/>
    <row r="111" ht="14.4" x14ac:dyDescent="0.3"/>
    <row r="112" ht="14.4" x14ac:dyDescent="0.3"/>
    <row r="113" ht="14.4" x14ac:dyDescent="0.3"/>
    <row r="114" ht="14.4" x14ac:dyDescent="0.3"/>
    <row r="115" ht="14.4" x14ac:dyDescent="0.3"/>
    <row r="116" ht="14.4" x14ac:dyDescent="0.3"/>
    <row r="117" ht="14.4" x14ac:dyDescent="0.3"/>
  </sheetData>
  <sheetProtection selectLockedCells="1"/>
  <conditionalFormatting sqref="H3:H4 D8:D16 H8:H16 B34:C34 B35:J39 B52:M53">
    <cfRule type="containsBlanks" dxfId="188" priority="76">
      <formula>LEN(TRIM(B3))=0</formula>
    </cfRule>
  </conditionalFormatting>
  <conditionalFormatting sqref="D18">
    <cfRule type="containsBlanks" dxfId="187" priority="71">
      <formula>LEN(TRIM(D18))=0</formula>
    </cfRule>
  </conditionalFormatting>
  <conditionalFormatting sqref="D3:D4">
    <cfRule type="containsBlanks" dxfId="186" priority="58">
      <formula>LEN(TRIM(D3))=0</formula>
    </cfRule>
  </conditionalFormatting>
  <conditionalFormatting sqref="M42 O42:X42">
    <cfRule type="containsBlanks" dxfId="185" priority="35">
      <formula>LEN(TRIM(M42))=0</formula>
    </cfRule>
  </conditionalFormatting>
  <conditionalFormatting sqref="M34:X41">
    <cfRule type="containsBlanks" dxfId="184" priority="36">
      <formula>LEN(TRIM(M34))=0</formula>
    </cfRule>
  </conditionalFormatting>
  <conditionalFormatting sqref="N42">
    <cfRule type="containsBlanks" dxfId="183" priority="33">
      <formula>LEN(TRIM(N42))=0</formula>
    </cfRule>
  </conditionalFormatting>
  <conditionalFormatting sqref="C47">
    <cfRule type="containsBlanks" dxfId="182" priority="7">
      <formula>LEN(TRIM(C47))=0</formula>
    </cfRule>
  </conditionalFormatting>
  <conditionalFormatting sqref="C48">
    <cfRule type="containsBlanks" dxfId="181" priority="6">
      <formula>LEN(TRIM(C48))=0</formula>
    </cfRule>
  </conditionalFormatting>
  <conditionalFormatting sqref="H48">
    <cfRule type="containsBlanks" dxfId="180" priority="5">
      <formula>LEN(TRIM(H48))=0</formula>
    </cfRule>
  </conditionalFormatting>
  <conditionalFormatting sqref="D60:D61">
    <cfRule type="containsBlanks" dxfId="179" priority="3">
      <formula>LEN(TRIM(D60))=0</formula>
    </cfRule>
  </conditionalFormatting>
  <conditionalFormatting sqref="G60:G61">
    <cfRule type="containsBlanks" dxfId="178" priority="2">
      <formula>LEN(TRIM(G60))=0</formula>
    </cfRule>
  </conditionalFormatting>
  <conditionalFormatting sqref="J60:J61">
    <cfRule type="containsBlanks" dxfId="177" priority="1">
      <formula>LEN(TRIM(J60))=0</formula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F29A5F-0DCA-4813-BABC-90F979E5760F}">
  <dimension ref="A1:Y102"/>
  <sheetViews>
    <sheetView zoomScale="66" zoomScaleNormal="70" workbookViewId="0">
      <selection activeCell="J29" sqref="J29"/>
    </sheetView>
  </sheetViews>
  <sheetFormatPr defaultRowHeight="14.4" x14ac:dyDescent="0.3"/>
  <cols>
    <col min="1" max="1" width="11.88671875" customWidth="1"/>
  </cols>
  <sheetData>
    <row r="1" spans="1:25" ht="18" x14ac:dyDescent="0.35">
      <c r="A1" s="55" t="s">
        <v>66</v>
      </c>
      <c r="B1" s="56"/>
      <c r="C1" s="56"/>
      <c r="D1" s="56"/>
      <c r="E1" s="56"/>
      <c r="F1" s="56"/>
      <c r="G1" s="56"/>
      <c r="H1" s="56"/>
      <c r="I1" s="56"/>
      <c r="M1" s="55" t="s">
        <v>67</v>
      </c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</row>
    <row r="3" spans="1:25" ht="15" thickBot="1" x14ac:dyDescent="0.35"/>
    <row r="4" spans="1:25" ht="18" x14ac:dyDescent="0.35">
      <c r="A4" s="51" t="s">
        <v>68</v>
      </c>
      <c r="B4" s="52"/>
      <c r="C4" s="52"/>
      <c r="D4" s="52"/>
      <c r="E4" s="52"/>
      <c r="F4" s="52"/>
      <c r="G4" s="52"/>
      <c r="H4" s="52"/>
      <c r="I4" s="53"/>
      <c r="M4" s="51" t="s">
        <v>68</v>
      </c>
      <c r="N4" s="52"/>
      <c r="O4" s="52"/>
      <c r="P4" s="52"/>
      <c r="Q4" s="52"/>
      <c r="R4" s="52"/>
      <c r="S4" s="52"/>
      <c r="T4" s="52"/>
      <c r="U4" s="52"/>
      <c r="V4" s="52"/>
      <c r="W4" s="52"/>
      <c r="X4" s="53"/>
    </row>
    <row r="5" spans="1:25" ht="15" thickBot="1" x14ac:dyDescent="0.35">
      <c r="A5" s="24" t="s">
        <v>69</v>
      </c>
      <c r="B5" s="22" t="s">
        <v>28</v>
      </c>
      <c r="C5" s="22" t="s">
        <v>29</v>
      </c>
      <c r="D5" s="22" t="s">
        <v>30</v>
      </c>
      <c r="E5" s="22" t="s">
        <v>31</v>
      </c>
      <c r="F5" s="22" t="s">
        <v>32</v>
      </c>
      <c r="G5" s="22" t="s">
        <v>70</v>
      </c>
      <c r="H5" s="22" t="s">
        <v>34</v>
      </c>
      <c r="I5" s="25" t="s">
        <v>59</v>
      </c>
      <c r="M5" s="24" t="s">
        <v>69</v>
      </c>
      <c r="N5" s="22" t="s">
        <v>28</v>
      </c>
      <c r="O5" s="22" t="s">
        <v>29</v>
      </c>
      <c r="P5" s="22" t="s">
        <v>30</v>
      </c>
      <c r="Q5" s="22" t="s">
        <v>35</v>
      </c>
      <c r="R5" s="22" t="s">
        <v>36</v>
      </c>
      <c r="S5" s="22" t="s">
        <v>37</v>
      </c>
      <c r="T5" s="22" t="s">
        <v>31</v>
      </c>
      <c r="U5" s="22" t="s">
        <v>32</v>
      </c>
      <c r="V5" s="22" t="s">
        <v>38</v>
      </c>
      <c r="W5" s="22" t="s">
        <v>34</v>
      </c>
      <c r="X5" s="31" t="s">
        <v>26</v>
      </c>
    </row>
    <row r="6" spans="1:25" ht="15" thickTop="1" x14ac:dyDescent="0.3">
      <c r="A6" s="10" t="s">
        <v>71</v>
      </c>
      <c r="B6" s="2">
        <v>9000</v>
      </c>
      <c r="C6">
        <v>247</v>
      </c>
      <c r="D6">
        <v>1.6</v>
      </c>
      <c r="E6">
        <v>756</v>
      </c>
      <c r="F6">
        <v>789</v>
      </c>
      <c r="G6">
        <v>328</v>
      </c>
      <c r="H6">
        <v>8</v>
      </c>
      <c r="I6" s="26">
        <v>1.0416666666666666E-2</v>
      </c>
      <c r="M6" s="10" t="s">
        <v>71</v>
      </c>
      <c r="N6" s="16">
        <v>7970</v>
      </c>
      <c r="O6" s="16">
        <v>160</v>
      </c>
      <c r="P6" s="16">
        <v>5.4</v>
      </c>
      <c r="Q6" s="16">
        <v>-0.3</v>
      </c>
      <c r="R6" s="16"/>
      <c r="S6" s="16"/>
      <c r="T6" s="16">
        <v>453</v>
      </c>
      <c r="U6" s="16">
        <v>488</v>
      </c>
      <c r="V6" s="21"/>
      <c r="W6" s="34"/>
      <c r="X6" s="37">
        <v>2.5289351851851851E-2</v>
      </c>
    </row>
    <row r="7" spans="1:25" x14ac:dyDescent="0.3">
      <c r="A7" s="10" t="s">
        <v>72</v>
      </c>
      <c r="B7" s="2">
        <v>9000</v>
      </c>
      <c r="C7">
        <v>247</v>
      </c>
      <c r="D7">
        <v>1.6</v>
      </c>
      <c r="E7">
        <v>756</v>
      </c>
      <c r="F7">
        <v>789</v>
      </c>
      <c r="G7">
        <v>329</v>
      </c>
      <c r="H7">
        <v>8</v>
      </c>
      <c r="I7" s="26">
        <v>1.068287037037037E-2</v>
      </c>
      <c r="M7" s="10" t="s">
        <v>72</v>
      </c>
      <c r="N7" s="2">
        <v>8000</v>
      </c>
      <c r="O7" s="2">
        <v>160</v>
      </c>
      <c r="P7" s="2">
        <v>5.4</v>
      </c>
      <c r="Q7" s="2"/>
      <c r="R7" s="2">
        <v>2.6</v>
      </c>
      <c r="S7" s="2">
        <v>0</v>
      </c>
      <c r="T7" s="2">
        <v>455</v>
      </c>
      <c r="U7" s="2">
        <v>485</v>
      </c>
      <c r="V7" s="2"/>
      <c r="W7" s="2"/>
      <c r="X7" s="33">
        <v>2.2222222222222223E-2</v>
      </c>
    </row>
    <row r="8" spans="1:25" x14ac:dyDescent="0.3">
      <c r="A8" s="10" t="s">
        <v>73</v>
      </c>
      <c r="B8" s="2">
        <v>9000</v>
      </c>
      <c r="C8">
        <v>247</v>
      </c>
      <c r="D8">
        <v>1.6</v>
      </c>
      <c r="E8">
        <v>742</v>
      </c>
      <c r="F8">
        <v>786</v>
      </c>
      <c r="G8">
        <v>331</v>
      </c>
      <c r="H8">
        <v>8</v>
      </c>
      <c r="I8" s="26">
        <v>1.0659722222222221E-2</v>
      </c>
      <c r="M8" s="10" t="s">
        <v>73</v>
      </c>
      <c r="N8" s="2">
        <v>7970</v>
      </c>
      <c r="O8" s="2">
        <v>161</v>
      </c>
      <c r="P8" s="2">
        <v>5.4</v>
      </c>
      <c r="Q8" s="2"/>
      <c r="R8" s="2">
        <v>2.6</v>
      </c>
      <c r="S8" s="2">
        <v>-1</v>
      </c>
      <c r="T8" s="2"/>
      <c r="U8" s="2"/>
      <c r="V8" s="2"/>
      <c r="W8" s="2"/>
      <c r="X8" s="33">
        <v>2.2222222222222223E-2</v>
      </c>
    </row>
    <row r="9" spans="1:25" x14ac:dyDescent="0.3">
      <c r="A9" s="10" t="s">
        <v>74</v>
      </c>
      <c r="B9" s="2">
        <v>9000</v>
      </c>
      <c r="C9">
        <v>248</v>
      </c>
      <c r="D9">
        <v>1.6</v>
      </c>
      <c r="E9">
        <v>742</v>
      </c>
      <c r="F9">
        <v>788</v>
      </c>
      <c r="G9">
        <v>329</v>
      </c>
      <c r="H9">
        <v>8</v>
      </c>
      <c r="I9" s="26">
        <v>1.0983796296296297E-2</v>
      </c>
      <c r="M9" s="10" t="s">
        <v>74</v>
      </c>
      <c r="N9" s="2">
        <v>7990</v>
      </c>
      <c r="O9" s="2">
        <v>161</v>
      </c>
      <c r="P9" s="2">
        <v>5.4</v>
      </c>
      <c r="Q9" s="2"/>
      <c r="R9" s="2"/>
      <c r="S9" s="2"/>
      <c r="T9" s="2"/>
      <c r="U9" s="2"/>
      <c r="V9" s="2">
        <v>586</v>
      </c>
      <c r="W9" s="2">
        <v>4.5</v>
      </c>
      <c r="X9" s="33">
        <v>2.2222222222222223E-2</v>
      </c>
    </row>
    <row r="10" spans="1:25" x14ac:dyDescent="0.3">
      <c r="A10" s="10" t="s">
        <v>75</v>
      </c>
      <c r="B10" s="2">
        <v>9000</v>
      </c>
      <c r="C10">
        <v>248</v>
      </c>
      <c r="D10">
        <v>1.6</v>
      </c>
      <c r="E10">
        <v>742</v>
      </c>
      <c r="F10">
        <v>787</v>
      </c>
      <c r="G10">
        <v>338</v>
      </c>
      <c r="H10">
        <v>8</v>
      </c>
      <c r="I10" s="26">
        <v>1.0821759259259258E-2</v>
      </c>
      <c r="M10" s="10" t="s">
        <v>75</v>
      </c>
      <c r="N10" s="2">
        <v>7990</v>
      </c>
      <c r="O10" s="2">
        <v>161</v>
      </c>
      <c r="P10" s="2">
        <v>5.4</v>
      </c>
      <c r="Q10" s="2"/>
      <c r="R10" s="2"/>
      <c r="S10" s="2">
        <v>-1</v>
      </c>
      <c r="T10" s="2"/>
      <c r="U10" s="2"/>
      <c r="V10" s="2"/>
      <c r="W10" s="2">
        <v>4.5</v>
      </c>
      <c r="X10" s="33">
        <v>2.2222222222222223E-2</v>
      </c>
    </row>
    <row r="11" spans="1:25" x14ac:dyDescent="0.3">
      <c r="A11" s="10" t="s">
        <v>54</v>
      </c>
      <c r="B11" s="2">
        <v>9000</v>
      </c>
      <c r="C11">
        <v>248</v>
      </c>
      <c r="D11">
        <v>1.6</v>
      </c>
      <c r="E11">
        <v>743</v>
      </c>
      <c r="F11">
        <v>788</v>
      </c>
      <c r="G11">
        <v>334</v>
      </c>
      <c r="H11">
        <v>8</v>
      </c>
      <c r="I11" s="26">
        <v>1.0937499999999999E-2</v>
      </c>
      <c r="M11" s="10" t="s">
        <v>54</v>
      </c>
      <c r="N11" s="2">
        <v>8000</v>
      </c>
      <c r="O11" s="2">
        <v>160</v>
      </c>
      <c r="P11" s="2">
        <v>5.4</v>
      </c>
      <c r="Q11" s="2"/>
      <c r="R11" s="2">
        <v>2.6</v>
      </c>
      <c r="S11" s="2"/>
      <c r="T11" s="2"/>
      <c r="U11" s="2"/>
      <c r="V11" s="2">
        <v>584</v>
      </c>
      <c r="W11" s="2"/>
      <c r="X11" s="5">
        <v>2.2048611111111113E-2</v>
      </c>
      <c r="Y11" s="10"/>
    </row>
    <row r="12" spans="1:25" x14ac:dyDescent="0.3">
      <c r="A12" s="27"/>
      <c r="B12" s="23"/>
      <c r="C12" s="23"/>
      <c r="D12" s="23"/>
      <c r="E12" s="23"/>
      <c r="F12" s="23"/>
      <c r="G12" s="23"/>
      <c r="H12" s="23"/>
      <c r="I12" s="28"/>
      <c r="M12" s="27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11"/>
    </row>
    <row r="13" spans="1:25" ht="15" thickBot="1" x14ac:dyDescent="0.35">
      <c r="A13" s="29" t="s">
        <v>76</v>
      </c>
      <c r="B13" s="35">
        <f>AVERAGE(B6:B11)</f>
        <v>9000</v>
      </c>
      <c r="C13" s="35">
        <f t="shared" ref="C13:H13" si="0">AVERAGE(C6:C11)</f>
        <v>247.5</v>
      </c>
      <c r="D13" s="35">
        <f t="shared" si="0"/>
        <v>1.5999999999999999</v>
      </c>
      <c r="E13" s="35">
        <f t="shared" si="0"/>
        <v>746.83333333333337</v>
      </c>
      <c r="F13" s="35">
        <f t="shared" si="0"/>
        <v>787.83333333333337</v>
      </c>
      <c r="G13" s="35">
        <f t="shared" si="0"/>
        <v>331.5</v>
      </c>
      <c r="H13" s="35">
        <f t="shared" si="0"/>
        <v>8</v>
      </c>
      <c r="I13" s="36">
        <f>AVERAGE(I6:I11)</f>
        <v>1.0750385802469136E-2</v>
      </c>
      <c r="M13" s="29" t="s">
        <v>76</v>
      </c>
      <c r="N13" s="40">
        <f t="shared" ref="N13:W13" si="1">AVERAGE(N6:N11)</f>
        <v>7986.666666666667</v>
      </c>
      <c r="O13" s="40">
        <f t="shared" si="1"/>
        <v>160.5</v>
      </c>
      <c r="P13" s="40">
        <f t="shared" si="1"/>
        <v>5.3999999999999995</v>
      </c>
      <c r="Q13" s="40">
        <f t="shared" si="1"/>
        <v>-0.3</v>
      </c>
      <c r="R13" s="40">
        <f t="shared" si="1"/>
        <v>2.6</v>
      </c>
      <c r="S13" s="40">
        <f t="shared" si="1"/>
        <v>-0.66666666666666663</v>
      </c>
      <c r="T13" s="40">
        <f t="shared" si="1"/>
        <v>454</v>
      </c>
      <c r="U13" s="40">
        <f t="shared" si="1"/>
        <v>486.5</v>
      </c>
      <c r="V13" s="40">
        <f t="shared" si="1"/>
        <v>585</v>
      </c>
      <c r="W13" s="40">
        <f t="shared" si="1"/>
        <v>4.5</v>
      </c>
      <c r="X13" s="41">
        <f>AVERAGE(X7:X11)</f>
        <v>2.2187500000000002E-2</v>
      </c>
    </row>
    <row r="14" spans="1:25" ht="15" thickBot="1" x14ac:dyDescent="0.35">
      <c r="A14" s="1"/>
      <c r="I14" s="20"/>
    </row>
    <row r="15" spans="1:25" ht="18" x14ac:dyDescent="0.35">
      <c r="A15" s="51" t="s">
        <v>77</v>
      </c>
      <c r="B15" s="52"/>
      <c r="C15" s="52"/>
      <c r="D15" s="52"/>
      <c r="E15" s="52"/>
      <c r="F15" s="52"/>
      <c r="G15" s="52"/>
      <c r="H15" s="52"/>
      <c r="I15" s="53"/>
      <c r="M15" s="51" t="s">
        <v>77</v>
      </c>
      <c r="N15" s="52"/>
      <c r="O15" s="52"/>
      <c r="P15" s="52"/>
      <c r="Q15" s="52"/>
      <c r="R15" s="52"/>
      <c r="S15" s="52"/>
      <c r="T15" s="52"/>
      <c r="U15" s="52"/>
      <c r="V15" s="52"/>
      <c r="W15" s="52"/>
      <c r="X15" s="53"/>
    </row>
    <row r="16" spans="1:25" ht="15" thickBot="1" x14ac:dyDescent="0.35">
      <c r="A16" s="24" t="s">
        <v>69</v>
      </c>
      <c r="B16" s="22" t="s">
        <v>28</v>
      </c>
      <c r="C16" s="22" t="s">
        <v>29</v>
      </c>
      <c r="D16" s="22" t="s">
        <v>30</v>
      </c>
      <c r="E16" s="22" t="s">
        <v>31</v>
      </c>
      <c r="F16" s="22" t="s">
        <v>32</v>
      </c>
      <c r="G16" s="22" t="s">
        <v>70</v>
      </c>
      <c r="H16" s="22" t="s">
        <v>34</v>
      </c>
      <c r="I16" s="25" t="s">
        <v>59</v>
      </c>
      <c r="M16" s="24" t="s">
        <v>69</v>
      </c>
      <c r="N16" s="22" t="s">
        <v>28</v>
      </c>
      <c r="O16" s="22" t="s">
        <v>29</v>
      </c>
      <c r="P16" s="22" t="s">
        <v>30</v>
      </c>
      <c r="Q16" s="22" t="s">
        <v>35</v>
      </c>
      <c r="R16" s="22" t="s">
        <v>36</v>
      </c>
      <c r="S16" s="22" t="s">
        <v>37</v>
      </c>
      <c r="T16" s="22" t="s">
        <v>31</v>
      </c>
      <c r="U16" s="22" t="s">
        <v>32</v>
      </c>
      <c r="V16" s="22" t="s">
        <v>38</v>
      </c>
      <c r="W16" s="22" t="s">
        <v>34</v>
      </c>
      <c r="X16" s="31" t="s">
        <v>26</v>
      </c>
    </row>
    <row r="17" spans="1:25" ht="15" thickTop="1" x14ac:dyDescent="0.3">
      <c r="A17" s="10" t="s">
        <v>71</v>
      </c>
      <c r="B17" s="2">
        <v>8990</v>
      </c>
      <c r="C17">
        <v>218</v>
      </c>
      <c r="D17">
        <v>2.5</v>
      </c>
      <c r="E17">
        <v>625</v>
      </c>
      <c r="F17">
        <v>650</v>
      </c>
      <c r="G17">
        <v>378</v>
      </c>
      <c r="H17">
        <v>6</v>
      </c>
      <c r="I17" s="26">
        <v>1.2476851851851852E-2</v>
      </c>
      <c r="M17" s="10" t="s">
        <v>71</v>
      </c>
      <c r="N17" s="16">
        <v>8200</v>
      </c>
      <c r="O17" s="16">
        <v>150</v>
      </c>
      <c r="P17" s="16">
        <v>6.3</v>
      </c>
      <c r="Q17" s="16">
        <v>-0.8</v>
      </c>
      <c r="R17" s="21"/>
      <c r="S17" s="21"/>
      <c r="T17" s="16">
        <v>449</v>
      </c>
      <c r="U17" s="16">
        <v>483</v>
      </c>
      <c r="V17" s="21"/>
      <c r="W17" s="34"/>
      <c r="X17" s="37">
        <v>2.6215277777777778E-2</v>
      </c>
    </row>
    <row r="18" spans="1:25" x14ac:dyDescent="0.3">
      <c r="A18" s="10" t="s">
        <v>72</v>
      </c>
      <c r="B18" s="2">
        <v>9000</v>
      </c>
      <c r="C18">
        <v>218.5</v>
      </c>
      <c r="D18">
        <v>2.5</v>
      </c>
      <c r="E18">
        <v>646</v>
      </c>
      <c r="F18">
        <v>649</v>
      </c>
      <c r="G18">
        <v>373</v>
      </c>
      <c r="H18">
        <v>6</v>
      </c>
      <c r="I18" s="26">
        <v>1.238425925925926E-2</v>
      </c>
      <c r="M18" s="10" t="s">
        <v>72</v>
      </c>
      <c r="N18" s="2">
        <v>8190</v>
      </c>
      <c r="O18" s="2">
        <v>150</v>
      </c>
      <c r="P18" s="2">
        <v>6.4</v>
      </c>
      <c r="Q18" s="2">
        <v>-0.8</v>
      </c>
      <c r="R18" s="2">
        <v>2.6</v>
      </c>
      <c r="S18" s="2">
        <v>-14</v>
      </c>
      <c r="T18" s="2">
        <v>450</v>
      </c>
      <c r="U18" s="2">
        <v>483</v>
      </c>
      <c r="V18" s="2"/>
      <c r="W18" s="2"/>
      <c r="X18" s="33">
        <v>2.326388888888889E-2</v>
      </c>
    </row>
    <row r="19" spans="1:25" x14ac:dyDescent="0.3">
      <c r="A19" s="10" t="s">
        <v>73</v>
      </c>
      <c r="B19" s="2">
        <v>8990</v>
      </c>
      <c r="C19">
        <v>218</v>
      </c>
      <c r="D19">
        <v>2.4</v>
      </c>
      <c r="E19">
        <v>625</v>
      </c>
      <c r="F19">
        <v>647</v>
      </c>
      <c r="G19">
        <v>374</v>
      </c>
      <c r="H19">
        <v>6</v>
      </c>
      <c r="I19" s="26">
        <v>1.2141203703703704E-2</v>
      </c>
      <c r="M19" s="10" t="s">
        <v>73</v>
      </c>
      <c r="N19" s="2">
        <v>8210</v>
      </c>
      <c r="O19" s="2">
        <v>150</v>
      </c>
      <c r="P19" s="2">
        <v>6.4</v>
      </c>
      <c r="Q19" s="2"/>
      <c r="R19" s="2">
        <v>2.6</v>
      </c>
      <c r="S19" s="2">
        <v>-14</v>
      </c>
      <c r="T19" s="2"/>
      <c r="U19" s="2"/>
      <c r="V19" s="2"/>
      <c r="W19" s="2"/>
      <c r="X19" s="33">
        <v>2.326388888888889E-2</v>
      </c>
    </row>
    <row r="20" spans="1:25" x14ac:dyDescent="0.3">
      <c r="A20" s="10" t="s">
        <v>74</v>
      </c>
      <c r="B20" s="2">
        <v>8990</v>
      </c>
      <c r="C20">
        <v>218.5</v>
      </c>
      <c r="D20">
        <v>2.5</v>
      </c>
      <c r="E20">
        <v>625</v>
      </c>
      <c r="F20">
        <v>649</v>
      </c>
      <c r="G20">
        <v>374</v>
      </c>
      <c r="H20">
        <v>6</v>
      </c>
      <c r="I20" s="26">
        <v>1.238425925925926E-2</v>
      </c>
      <c r="M20" s="10" t="s">
        <v>74</v>
      </c>
      <c r="N20" s="2">
        <v>8200</v>
      </c>
      <c r="O20" s="2">
        <v>150</v>
      </c>
      <c r="P20" s="2">
        <v>6.3</v>
      </c>
      <c r="Q20" s="2"/>
      <c r="R20" s="2"/>
      <c r="S20" s="2"/>
      <c r="T20" s="2"/>
      <c r="U20" s="2"/>
      <c r="V20" s="2">
        <v>608</v>
      </c>
      <c r="W20" s="2">
        <v>3.8</v>
      </c>
      <c r="X20" s="33">
        <v>2.3206018518518518E-2</v>
      </c>
    </row>
    <row r="21" spans="1:25" x14ac:dyDescent="0.3">
      <c r="A21" s="10" t="s">
        <v>75</v>
      </c>
      <c r="B21" s="2">
        <v>8990</v>
      </c>
      <c r="C21">
        <v>218</v>
      </c>
      <c r="D21">
        <v>2.5</v>
      </c>
      <c r="E21">
        <v>624</v>
      </c>
      <c r="F21">
        <v>648</v>
      </c>
      <c r="G21">
        <v>375</v>
      </c>
      <c r="H21">
        <v>6</v>
      </c>
      <c r="I21" s="26">
        <v>1.2268518518518519E-2</v>
      </c>
      <c r="M21" s="10" t="s">
        <v>75</v>
      </c>
      <c r="N21" s="2">
        <v>8200</v>
      </c>
      <c r="O21" s="2">
        <v>150</v>
      </c>
      <c r="P21" s="2">
        <v>6.3</v>
      </c>
      <c r="Q21" s="2"/>
      <c r="R21" s="2"/>
      <c r="S21" s="2">
        <v>-14</v>
      </c>
      <c r="T21" s="2"/>
      <c r="U21" s="2"/>
      <c r="V21" s="2"/>
      <c r="W21" s="2">
        <v>3.8</v>
      </c>
      <c r="X21" s="33">
        <v>2.3148148148148147E-2</v>
      </c>
    </row>
    <row r="22" spans="1:25" x14ac:dyDescent="0.3">
      <c r="A22" s="10" t="s">
        <v>54</v>
      </c>
      <c r="B22" s="2">
        <v>8990</v>
      </c>
      <c r="C22">
        <v>218</v>
      </c>
      <c r="D22">
        <v>2.5</v>
      </c>
      <c r="E22">
        <v>625</v>
      </c>
      <c r="F22">
        <v>649</v>
      </c>
      <c r="G22">
        <v>377</v>
      </c>
      <c r="H22">
        <v>6</v>
      </c>
      <c r="I22" s="26">
        <v>1.2268518518518519E-2</v>
      </c>
      <c r="M22" s="10" t="s">
        <v>54</v>
      </c>
      <c r="N22" s="2">
        <v>8200</v>
      </c>
      <c r="O22" s="2">
        <v>150</v>
      </c>
      <c r="P22" s="2">
        <v>6.3</v>
      </c>
      <c r="Q22" s="2"/>
      <c r="R22" s="2">
        <v>2.6</v>
      </c>
      <c r="S22" s="2"/>
      <c r="T22" s="2"/>
      <c r="U22" s="2"/>
      <c r="V22" s="2">
        <v>609</v>
      </c>
      <c r="W22" s="2"/>
      <c r="X22" s="33">
        <v>2.3148148148148147E-2</v>
      </c>
    </row>
    <row r="23" spans="1:25" x14ac:dyDescent="0.3">
      <c r="A23" s="27"/>
      <c r="B23" s="23"/>
      <c r="C23" s="23"/>
      <c r="D23" s="23"/>
      <c r="E23" s="23"/>
      <c r="F23" s="23"/>
      <c r="G23" s="23"/>
      <c r="H23" s="23"/>
      <c r="I23" s="28"/>
      <c r="M23" s="27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8"/>
    </row>
    <row r="24" spans="1:25" ht="15" thickBot="1" x14ac:dyDescent="0.35">
      <c r="A24" s="29" t="s">
        <v>76</v>
      </c>
      <c r="B24" s="35">
        <f>AVERAGE(B17:B22)</f>
        <v>8991.6666666666661</v>
      </c>
      <c r="C24" s="35">
        <f>AVERAGE(C17:C22)</f>
        <v>218.16666666666666</v>
      </c>
      <c r="D24" s="35">
        <f>AVERAGE(D17:D22)</f>
        <v>2.4833333333333334</v>
      </c>
      <c r="E24" s="35">
        <f>AVERAGE(E17:E22)</f>
        <v>628.33333333333337</v>
      </c>
      <c r="F24" s="35">
        <f>AVERAGE(F17:F22)</f>
        <v>648.66666666666663</v>
      </c>
      <c r="G24" s="35">
        <f>AVERAGE(G17:G22)</f>
        <v>375.16666666666669</v>
      </c>
      <c r="H24" s="35">
        <f>AVERAGE(H17:H22)</f>
        <v>6</v>
      </c>
      <c r="I24" s="36">
        <f>AVERAGE(I17:I22)</f>
        <v>1.2320601851851853E-2</v>
      </c>
      <c r="M24" s="29" t="s">
        <v>76</v>
      </c>
      <c r="N24" s="40">
        <f t="shared" ref="N24:W24" si="2">AVERAGE(N17:N22)</f>
        <v>8200</v>
      </c>
      <c r="O24" s="40">
        <f t="shared" si="2"/>
        <v>150</v>
      </c>
      <c r="P24" s="40">
        <f t="shared" si="2"/>
        <v>6.333333333333333</v>
      </c>
      <c r="Q24" s="40">
        <f t="shared" si="2"/>
        <v>-0.8</v>
      </c>
      <c r="R24" s="40">
        <f t="shared" si="2"/>
        <v>2.6</v>
      </c>
      <c r="S24" s="40">
        <f t="shared" si="2"/>
        <v>-14</v>
      </c>
      <c r="T24" s="40">
        <f t="shared" si="2"/>
        <v>449.5</v>
      </c>
      <c r="U24" s="40">
        <f t="shared" si="2"/>
        <v>483</v>
      </c>
      <c r="V24" s="40">
        <f t="shared" si="2"/>
        <v>608.5</v>
      </c>
      <c r="W24" s="40">
        <f t="shared" si="2"/>
        <v>3.8</v>
      </c>
      <c r="X24" s="42">
        <f>AVERAGE(X18:X22)</f>
        <v>2.3206018518518518E-2</v>
      </c>
      <c r="Y24" s="10"/>
    </row>
    <row r="25" spans="1:25" ht="15" thickBot="1" x14ac:dyDescent="0.35"/>
    <row r="26" spans="1:25" ht="18" x14ac:dyDescent="0.35">
      <c r="A26" s="51" t="s">
        <v>78</v>
      </c>
      <c r="B26" s="52"/>
      <c r="C26" s="52"/>
      <c r="D26" s="52"/>
      <c r="E26" s="52"/>
      <c r="F26" s="52"/>
      <c r="G26" s="52"/>
      <c r="H26" s="52"/>
      <c r="I26" s="53"/>
      <c r="M26" s="51" t="s">
        <v>78</v>
      </c>
      <c r="N26" s="52"/>
      <c r="O26" s="52"/>
      <c r="P26" s="52"/>
      <c r="Q26" s="52"/>
      <c r="R26" s="52"/>
      <c r="S26" s="52"/>
      <c r="T26" s="52"/>
      <c r="U26" s="52"/>
      <c r="V26" s="52"/>
      <c r="W26" s="52"/>
      <c r="X26" s="53"/>
    </row>
    <row r="27" spans="1:25" ht="15" thickBot="1" x14ac:dyDescent="0.35">
      <c r="A27" s="24" t="s">
        <v>69</v>
      </c>
      <c r="B27" s="22" t="s">
        <v>28</v>
      </c>
      <c r="C27" s="22" t="s">
        <v>29</v>
      </c>
      <c r="D27" s="22" t="s">
        <v>30</v>
      </c>
      <c r="E27" s="22" t="s">
        <v>31</v>
      </c>
      <c r="F27" s="22" t="s">
        <v>32</v>
      </c>
      <c r="G27" s="22" t="s">
        <v>70</v>
      </c>
      <c r="H27" s="22" t="s">
        <v>34</v>
      </c>
      <c r="I27" s="25" t="s">
        <v>59</v>
      </c>
      <c r="K27" s="4"/>
      <c r="M27" s="24" t="s">
        <v>69</v>
      </c>
      <c r="N27" s="22" t="s">
        <v>28</v>
      </c>
      <c r="O27" s="22" t="s">
        <v>29</v>
      </c>
      <c r="P27" s="22" t="s">
        <v>30</v>
      </c>
      <c r="Q27" s="22" t="s">
        <v>35</v>
      </c>
      <c r="R27" s="22" t="s">
        <v>36</v>
      </c>
      <c r="S27" s="22" t="s">
        <v>37</v>
      </c>
      <c r="T27" s="22" t="s">
        <v>31</v>
      </c>
      <c r="U27" s="22" t="s">
        <v>32</v>
      </c>
      <c r="V27" s="22" t="s">
        <v>38</v>
      </c>
      <c r="W27" s="22" t="s">
        <v>34</v>
      </c>
      <c r="X27" s="31" t="s">
        <v>26</v>
      </c>
    </row>
    <row r="28" spans="1:25" ht="15" thickTop="1" x14ac:dyDescent="0.3">
      <c r="A28" s="10" t="s">
        <v>71</v>
      </c>
      <c r="B28" s="2">
        <v>8990</v>
      </c>
      <c r="C28">
        <v>190</v>
      </c>
      <c r="D28">
        <v>3.5</v>
      </c>
      <c r="E28">
        <v>526</v>
      </c>
      <c r="F28">
        <v>556</v>
      </c>
      <c r="G28">
        <v>410</v>
      </c>
      <c r="H28">
        <v>4.3</v>
      </c>
      <c r="I28" s="26">
        <v>1.3703703703703704E-2</v>
      </c>
      <c r="M28" s="10" t="s">
        <v>71</v>
      </c>
      <c r="N28" s="16">
        <v>8480</v>
      </c>
      <c r="O28" s="16">
        <v>140</v>
      </c>
      <c r="P28" s="16">
        <v>7.4</v>
      </c>
      <c r="Q28" s="16">
        <v>-0.8</v>
      </c>
      <c r="R28" s="21"/>
      <c r="S28" s="21"/>
      <c r="T28" s="16">
        <v>442</v>
      </c>
      <c r="U28" s="16">
        <v>478</v>
      </c>
      <c r="V28" s="21"/>
      <c r="W28" s="21"/>
      <c r="X28" s="37">
        <v>2.7071759259259257E-2</v>
      </c>
    </row>
    <row r="29" spans="1:25" x14ac:dyDescent="0.3">
      <c r="A29" s="10" t="s">
        <v>72</v>
      </c>
      <c r="B29" s="2">
        <v>9000</v>
      </c>
      <c r="C29">
        <v>191</v>
      </c>
      <c r="D29">
        <v>3.5</v>
      </c>
      <c r="E29">
        <v>540</v>
      </c>
      <c r="F29">
        <v>558</v>
      </c>
      <c r="G29">
        <v>405</v>
      </c>
      <c r="H29">
        <v>4.3</v>
      </c>
      <c r="I29" s="26">
        <v>1.3541666666666667E-2</v>
      </c>
      <c r="M29" s="10" t="s">
        <v>72</v>
      </c>
      <c r="N29" s="2">
        <v>8480</v>
      </c>
      <c r="O29" s="2">
        <v>140</v>
      </c>
      <c r="P29" s="2">
        <v>7.3</v>
      </c>
      <c r="Q29" s="2">
        <v>-1.2</v>
      </c>
      <c r="R29" s="2">
        <v>2.6</v>
      </c>
      <c r="S29" s="2">
        <v>-26</v>
      </c>
      <c r="T29" s="2">
        <v>442</v>
      </c>
      <c r="U29" s="2">
        <v>478</v>
      </c>
      <c r="V29" s="2"/>
      <c r="W29" s="13"/>
      <c r="X29" s="33">
        <v>2.4421296296296295E-2</v>
      </c>
    </row>
    <row r="30" spans="1:25" x14ac:dyDescent="0.3">
      <c r="A30" s="10" t="s">
        <v>73</v>
      </c>
      <c r="B30" s="2">
        <v>8990</v>
      </c>
      <c r="C30">
        <v>191</v>
      </c>
      <c r="D30">
        <v>3.5</v>
      </c>
      <c r="E30">
        <v>540</v>
      </c>
      <c r="F30">
        <v>555</v>
      </c>
      <c r="G30">
        <v>405</v>
      </c>
      <c r="H30">
        <v>4</v>
      </c>
      <c r="I30" s="26">
        <v>1.3657407407407408E-2</v>
      </c>
      <c r="M30" s="10" t="s">
        <v>73</v>
      </c>
      <c r="N30" s="2">
        <v>8500</v>
      </c>
      <c r="O30" s="2">
        <v>141</v>
      </c>
      <c r="P30" s="2">
        <v>7.4</v>
      </c>
      <c r="Q30" s="2"/>
      <c r="R30" s="2">
        <v>2.6</v>
      </c>
      <c r="S30" s="2">
        <v>-27</v>
      </c>
      <c r="T30" s="2"/>
      <c r="U30" s="2"/>
      <c r="V30" s="2"/>
      <c r="W30" s="13"/>
      <c r="X30" s="33">
        <v>2.4305555555555556E-2</v>
      </c>
    </row>
    <row r="31" spans="1:25" x14ac:dyDescent="0.3">
      <c r="A31" s="10" t="s">
        <v>74</v>
      </c>
      <c r="B31" s="2">
        <v>8990</v>
      </c>
      <c r="C31">
        <v>191</v>
      </c>
      <c r="D31">
        <v>3.5</v>
      </c>
      <c r="E31">
        <v>540</v>
      </c>
      <c r="F31">
        <v>560</v>
      </c>
      <c r="G31">
        <v>405</v>
      </c>
      <c r="H31">
        <v>4.3</v>
      </c>
      <c r="I31" s="26">
        <v>1.3715277777777778E-2</v>
      </c>
      <c r="M31" s="10" t="s">
        <v>74</v>
      </c>
      <c r="N31" s="2">
        <v>8500</v>
      </c>
      <c r="O31" s="2">
        <v>141</v>
      </c>
      <c r="P31" s="2">
        <v>7.3</v>
      </c>
      <c r="Q31" s="2"/>
      <c r="R31" s="2"/>
      <c r="S31" s="2"/>
      <c r="T31" s="2"/>
      <c r="U31" s="2"/>
      <c r="V31" s="2">
        <v>635</v>
      </c>
      <c r="W31" s="2">
        <v>2.8</v>
      </c>
      <c r="X31" s="33">
        <v>2.4409722222222222E-2</v>
      </c>
    </row>
    <row r="32" spans="1:25" x14ac:dyDescent="0.3">
      <c r="A32" s="10" t="s">
        <v>75</v>
      </c>
      <c r="B32" s="2">
        <v>8990</v>
      </c>
      <c r="C32">
        <v>190</v>
      </c>
      <c r="D32">
        <v>3.55</v>
      </c>
      <c r="E32">
        <v>540</v>
      </c>
      <c r="F32">
        <v>566</v>
      </c>
      <c r="G32">
        <v>404</v>
      </c>
      <c r="H32">
        <v>4</v>
      </c>
      <c r="I32" s="26">
        <v>1.3368055555555555E-2</v>
      </c>
      <c r="M32" s="10" t="s">
        <v>75</v>
      </c>
      <c r="N32" s="2">
        <v>8510</v>
      </c>
      <c r="O32" s="2">
        <v>140</v>
      </c>
      <c r="P32" s="2">
        <v>7.4</v>
      </c>
      <c r="Q32" s="2"/>
      <c r="R32" s="2"/>
      <c r="S32" s="2">
        <v>-26</v>
      </c>
      <c r="T32" s="2"/>
      <c r="U32" s="2"/>
      <c r="V32" s="2"/>
      <c r="W32" s="2">
        <v>3</v>
      </c>
      <c r="X32" s="33">
        <v>2.4305555555555556E-2</v>
      </c>
    </row>
    <row r="33" spans="1:25" x14ac:dyDescent="0.3">
      <c r="A33" s="10" t="s">
        <v>54</v>
      </c>
      <c r="B33" s="2">
        <v>9000</v>
      </c>
      <c r="C33">
        <v>191</v>
      </c>
      <c r="D33">
        <v>3.5</v>
      </c>
      <c r="E33">
        <v>525</v>
      </c>
      <c r="F33">
        <v>557</v>
      </c>
      <c r="G33">
        <v>409</v>
      </c>
      <c r="H33">
        <v>4.3</v>
      </c>
      <c r="I33" s="26">
        <v>1.3599537037037037E-2</v>
      </c>
      <c r="M33" s="10" t="s">
        <v>54</v>
      </c>
      <c r="N33" s="2">
        <v>8500</v>
      </c>
      <c r="O33" s="2">
        <v>140</v>
      </c>
      <c r="P33" s="2">
        <v>7.4</v>
      </c>
      <c r="Q33" s="2"/>
      <c r="R33" s="2">
        <v>2.6</v>
      </c>
      <c r="S33" s="2"/>
      <c r="T33" s="2"/>
      <c r="U33" s="2"/>
      <c r="V33" s="2">
        <v>635</v>
      </c>
      <c r="W33" s="13"/>
      <c r="X33" s="33">
        <v>2.4305555555555556E-2</v>
      </c>
    </row>
    <row r="34" spans="1:25" x14ac:dyDescent="0.3">
      <c r="A34" s="27"/>
      <c r="B34" s="23"/>
      <c r="C34" s="23"/>
      <c r="D34" s="23"/>
      <c r="E34" s="23"/>
      <c r="F34" s="23"/>
      <c r="G34" s="23"/>
      <c r="H34" s="23"/>
      <c r="I34" s="28"/>
      <c r="M34" s="27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11"/>
    </row>
    <row r="35" spans="1:25" ht="15" thickBot="1" x14ac:dyDescent="0.35">
      <c r="A35" s="29" t="s">
        <v>76</v>
      </c>
      <c r="B35" s="35">
        <f>AVERAGE(B28:B33)</f>
        <v>8993.3333333333339</v>
      </c>
      <c r="C35" s="35">
        <f>AVERAGE(C28:C33)</f>
        <v>190.66666666666666</v>
      </c>
      <c r="D35" s="35">
        <f>AVERAGE(D28:D32)</f>
        <v>3.5100000000000002</v>
      </c>
      <c r="E35" s="35">
        <f>AVERAGE(E28:E33)</f>
        <v>535.16666666666663</v>
      </c>
      <c r="F35" s="35">
        <f>AVERAGE(F28:F33)</f>
        <v>558.66666666666663</v>
      </c>
      <c r="G35" s="35">
        <f>AVERAGE(G28:G33)</f>
        <v>406.33333333333331</v>
      </c>
      <c r="H35" s="35">
        <f>AVERAGE(H28:H33)</f>
        <v>4.2</v>
      </c>
      <c r="I35" s="36">
        <f>AVERAGE(I28:I33)</f>
        <v>1.3597608024691357E-2</v>
      </c>
      <c r="M35" s="29" t="s">
        <v>76</v>
      </c>
      <c r="N35" s="40">
        <f t="shared" ref="N35:W35" si="3">AVERAGE(N28:N33)</f>
        <v>8495</v>
      </c>
      <c r="O35" s="40">
        <f t="shared" si="3"/>
        <v>140.33333333333334</v>
      </c>
      <c r="P35" s="40">
        <f t="shared" si="3"/>
        <v>7.3666666666666671</v>
      </c>
      <c r="Q35" s="40">
        <f t="shared" si="3"/>
        <v>-1</v>
      </c>
      <c r="R35" s="40">
        <f t="shared" si="3"/>
        <v>2.6</v>
      </c>
      <c r="S35" s="40">
        <f t="shared" si="3"/>
        <v>-26.333333333333332</v>
      </c>
      <c r="T35" s="40">
        <f t="shared" si="3"/>
        <v>442</v>
      </c>
      <c r="U35" s="40">
        <f t="shared" si="3"/>
        <v>478</v>
      </c>
      <c r="V35" s="40">
        <f t="shared" si="3"/>
        <v>635</v>
      </c>
      <c r="W35" s="40">
        <f t="shared" si="3"/>
        <v>2.9</v>
      </c>
      <c r="X35" s="41">
        <f>AVERAGE(X29:X33)</f>
        <v>2.4349537037037038E-2</v>
      </c>
    </row>
    <row r="36" spans="1:25" ht="15" thickBot="1" x14ac:dyDescent="0.35"/>
    <row r="37" spans="1:25" ht="18" x14ac:dyDescent="0.35">
      <c r="A37" s="51" t="s">
        <v>79</v>
      </c>
      <c r="B37" s="52"/>
      <c r="C37" s="52"/>
      <c r="D37" s="52"/>
      <c r="E37" s="52"/>
      <c r="F37" s="52"/>
      <c r="G37" s="52"/>
      <c r="H37" s="52"/>
      <c r="I37" s="53"/>
      <c r="M37" s="51" t="s">
        <v>79</v>
      </c>
      <c r="N37" s="52"/>
      <c r="O37" s="52"/>
      <c r="P37" s="52"/>
      <c r="Q37" s="52"/>
      <c r="R37" s="52"/>
      <c r="S37" s="52"/>
      <c r="T37" s="52"/>
      <c r="U37" s="52"/>
      <c r="V37" s="52"/>
      <c r="W37" s="52"/>
      <c r="X37" s="53"/>
    </row>
    <row r="38" spans="1:25" ht="15" thickBot="1" x14ac:dyDescent="0.35">
      <c r="A38" s="24" t="s">
        <v>69</v>
      </c>
      <c r="B38" s="22" t="s">
        <v>28</v>
      </c>
      <c r="C38" s="22" t="s">
        <v>29</v>
      </c>
      <c r="D38" s="22" t="s">
        <v>30</v>
      </c>
      <c r="E38" s="22" t="s">
        <v>31</v>
      </c>
      <c r="F38" s="22" t="s">
        <v>32</v>
      </c>
      <c r="G38" s="22" t="s">
        <v>70</v>
      </c>
      <c r="H38" s="22" t="s">
        <v>34</v>
      </c>
      <c r="I38" s="25" t="s">
        <v>59</v>
      </c>
      <c r="M38" s="24" t="s">
        <v>69</v>
      </c>
      <c r="N38" s="22" t="s">
        <v>28</v>
      </c>
      <c r="O38" s="22" t="s">
        <v>29</v>
      </c>
      <c r="P38" s="22" t="s">
        <v>30</v>
      </c>
      <c r="Q38" s="22" t="s">
        <v>35</v>
      </c>
      <c r="R38" s="22" t="s">
        <v>36</v>
      </c>
      <c r="S38" s="22" t="s">
        <v>37</v>
      </c>
      <c r="T38" s="22" t="s">
        <v>31</v>
      </c>
      <c r="U38" s="22" t="s">
        <v>32</v>
      </c>
      <c r="V38" s="22" t="s">
        <v>38</v>
      </c>
      <c r="W38" s="22" t="s">
        <v>34</v>
      </c>
      <c r="X38" s="31" t="s">
        <v>26</v>
      </c>
    </row>
    <row r="39" spans="1:25" ht="15" thickTop="1" x14ac:dyDescent="0.3">
      <c r="A39" s="10" t="s">
        <v>71</v>
      </c>
      <c r="B39" s="2">
        <v>8990</v>
      </c>
      <c r="C39">
        <v>158</v>
      </c>
      <c r="D39">
        <v>5.6</v>
      </c>
      <c r="E39">
        <v>470</v>
      </c>
      <c r="F39">
        <v>493</v>
      </c>
      <c r="G39">
        <v>434</v>
      </c>
      <c r="H39">
        <v>2.5</v>
      </c>
      <c r="I39" s="26">
        <v>1.5370370370370371E-2</v>
      </c>
      <c r="M39" s="10" t="s">
        <v>71</v>
      </c>
      <c r="N39" s="16">
        <v>8780</v>
      </c>
      <c r="O39" s="16">
        <v>130</v>
      </c>
      <c r="P39" s="16">
        <v>8.6999999999999993</v>
      </c>
      <c r="Q39" s="16">
        <v>-1.8</v>
      </c>
      <c r="R39" s="21"/>
      <c r="S39" s="21"/>
      <c r="T39" s="16">
        <v>439</v>
      </c>
      <c r="U39" s="16">
        <v>473</v>
      </c>
      <c r="V39" s="21"/>
      <c r="W39" s="21"/>
      <c r="X39" s="37">
        <v>2.7939814814814817E-2</v>
      </c>
    </row>
    <row r="40" spans="1:25" x14ac:dyDescent="0.3">
      <c r="A40" s="10" t="s">
        <v>72</v>
      </c>
      <c r="B40" s="2">
        <v>9000</v>
      </c>
      <c r="C40">
        <v>159</v>
      </c>
      <c r="D40">
        <v>5.6</v>
      </c>
      <c r="E40">
        <v>470</v>
      </c>
      <c r="F40">
        <v>500</v>
      </c>
      <c r="G40">
        <v>437</v>
      </c>
      <c r="H40">
        <v>2.5</v>
      </c>
      <c r="I40" s="26">
        <v>1.5162037037037036E-2</v>
      </c>
      <c r="M40" s="10" t="s">
        <v>72</v>
      </c>
      <c r="N40" s="2">
        <v>8770</v>
      </c>
      <c r="O40" s="2">
        <v>130</v>
      </c>
      <c r="P40" s="2">
        <v>8.6999999999999993</v>
      </c>
      <c r="Q40" s="2">
        <v>-1.9</v>
      </c>
      <c r="R40" s="2">
        <v>2.6</v>
      </c>
      <c r="S40" s="2">
        <v>-39</v>
      </c>
      <c r="T40" s="2">
        <v>440</v>
      </c>
      <c r="U40" s="2">
        <v>470</v>
      </c>
      <c r="V40" s="2"/>
      <c r="W40" s="13"/>
      <c r="X40" s="33">
        <v>2.5462962962962962E-2</v>
      </c>
    </row>
    <row r="41" spans="1:25" x14ac:dyDescent="0.3">
      <c r="A41" s="10" t="s">
        <v>73</v>
      </c>
      <c r="B41" s="2">
        <v>9000</v>
      </c>
      <c r="C41">
        <v>159</v>
      </c>
      <c r="D41">
        <v>5.6</v>
      </c>
      <c r="E41">
        <v>469</v>
      </c>
      <c r="F41">
        <v>495</v>
      </c>
      <c r="G41" s="50">
        <v>435</v>
      </c>
      <c r="H41">
        <v>2.5</v>
      </c>
      <c r="I41" s="26">
        <v>1.5162037037037036E-2</v>
      </c>
      <c r="M41" s="10" t="s">
        <v>73</v>
      </c>
      <c r="N41" s="2">
        <v>8800</v>
      </c>
      <c r="O41" s="2">
        <v>131</v>
      </c>
      <c r="P41" s="2">
        <v>8.6999999999999993</v>
      </c>
      <c r="Q41" s="2"/>
      <c r="R41" s="2">
        <v>2.6</v>
      </c>
      <c r="S41" s="2">
        <v>-38</v>
      </c>
      <c r="T41" s="2"/>
      <c r="U41" s="2"/>
      <c r="V41" s="2"/>
      <c r="W41" s="13"/>
      <c r="X41" s="33">
        <v>2.5462962962962962E-2</v>
      </c>
    </row>
    <row r="42" spans="1:25" x14ac:dyDescent="0.3">
      <c r="A42" s="10" t="s">
        <v>74</v>
      </c>
      <c r="B42" s="2">
        <v>9000</v>
      </c>
      <c r="C42">
        <v>161</v>
      </c>
      <c r="D42">
        <v>5.6</v>
      </c>
      <c r="E42">
        <v>469</v>
      </c>
      <c r="F42">
        <v>500</v>
      </c>
      <c r="G42">
        <v>437</v>
      </c>
      <c r="H42">
        <v>2.5</v>
      </c>
      <c r="I42" s="26">
        <v>1.5509259259259259E-2</v>
      </c>
      <c r="M42" s="10" t="s">
        <v>74</v>
      </c>
      <c r="N42" s="2">
        <v>8790</v>
      </c>
      <c r="O42" s="2">
        <v>130</v>
      </c>
      <c r="P42" s="2">
        <v>8.6999999999999993</v>
      </c>
      <c r="Q42" s="2"/>
      <c r="R42" s="2"/>
      <c r="S42" s="2"/>
      <c r="T42" s="2"/>
      <c r="U42" s="2"/>
      <c r="V42" s="2">
        <v>657</v>
      </c>
      <c r="W42" s="2">
        <v>2</v>
      </c>
      <c r="X42" s="33">
        <v>2.5462962962962962E-2</v>
      </c>
    </row>
    <row r="43" spans="1:25" x14ac:dyDescent="0.3">
      <c r="A43" s="10" t="s">
        <v>75</v>
      </c>
      <c r="B43" s="2">
        <v>8990</v>
      </c>
      <c r="C43">
        <v>159</v>
      </c>
      <c r="D43">
        <v>5.6</v>
      </c>
      <c r="E43">
        <v>470</v>
      </c>
      <c r="F43">
        <v>492</v>
      </c>
      <c r="G43">
        <v>435</v>
      </c>
      <c r="H43">
        <v>2.5</v>
      </c>
      <c r="I43" s="26">
        <v>1.4872685185185185E-2</v>
      </c>
      <c r="M43" s="10" t="s">
        <v>75</v>
      </c>
      <c r="N43" s="2">
        <v>8780</v>
      </c>
      <c r="O43" s="2">
        <v>130</v>
      </c>
      <c r="P43" s="2">
        <v>8.6999999999999993</v>
      </c>
      <c r="Q43" s="2"/>
      <c r="R43" s="2"/>
      <c r="S43" s="2">
        <v>-38</v>
      </c>
      <c r="T43" s="2"/>
      <c r="U43" s="2"/>
      <c r="V43" s="2"/>
      <c r="W43" s="2">
        <v>2</v>
      </c>
      <c r="X43" s="33">
        <v>2.4652777777777777E-2</v>
      </c>
    </row>
    <row r="44" spans="1:25" x14ac:dyDescent="0.3">
      <c r="A44" s="10" t="s">
        <v>54</v>
      </c>
      <c r="B44" s="2">
        <v>9000</v>
      </c>
      <c r="C44">
        <v>160</v>
      </c>
      <c r="D44">
        <v>5.5</v>
      </c>
      <c r="E44">
        <v>469</v>
      </c>
      <c r="F44">
        <v>500</v>
      </c>
      <c r="G44">
        <v>441</v>
      </c>
      <c r="H44">
        <v>2.5</v>
      </c>
      <c r="I44" s="26">
        <v>1.5104166666666667E-2</v>
      </c>
      <c r="M44" s="10" t="s">
        <v>54</v>
      </c>
      <c r="N44" s="2">
        <v>8800</v>
      </c>
      <c r="O44" s="2">
        <v>130</v>
      </c>
      <c r="P44" s="2">
        <v>8.6999999999999993</v>
      </c>
      <c r="Q44" s="2"/>
      <c r="R44" s="2">
        <v>2.6</v>
      </c>
      <c r="S44" s="2"/>
      <c r="T44" s="2"/>
      <c r="U44" s="2"/>
      <c r="V44" s="2">
        <v>660</v>
      </c>
      <c r="W44" s="2"/>
      <c r="X44" s="33">
        <v>2.5405092592592594E-2</v>
      </c>
    </row>
    <row r="45" spans="1:25" x14ac:dyDescent="0.3">
      <c r="A45" s="27"/>
      <c r="B45" s="23"/>
      <c r="C45" s="23"/>
      <c r="D45" s="23"/>
      <c r="E45" s="23"/>
      <c r="F45" s="23"/>
      <c r="G45" s="23"/>
      <c r="H45" s="23"/>
      <c r="I45" s="28"/>
      <c r="M45" s="27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8"/>
    </row>
    <row r="46" spans="1:25" ht="15" thickBot="1" x14ac:dyDescent="0.35">
      <c r="A46" s="29" t="s">
        <v>76</v>
      </c>
      <c r="B46" s="35">
        <f>AVERAGE(B39:B44)</f>
        <v>8996.6666666666661</v>
      </c>
      <c r="C46" s="35">
        <f>AVERAGE(C39:C44)</f>
        <v>159.33333333333334</v>
      </c>
      <c r="D46" s="35">
        <f>AVERAGE(D39:D44)</f>
        <v>5.583333333333333</v>
      </c>
      <c r="E46" s="35">
        <f>AVERAGE(E39:E44)</f>
        <v>469.5</v>
      </c>
      <c r="F46" s="35">
        <f>AVERAGE(F39:F44)</f>
        <v>496.66666666666669</v>
      </c>
      <c r="G46" s="35">
        <f>AVERAGE(G39:G44)</f>
        <v>436.5</v>
      </c>
      <c r="H46" s="35">
        <f>AVERAGE(H39:H44)</f>
        <v>2.5</v>
      </c>
      <c r="I46" s="36">
        <f>AVERAGE(I39:I44)</f>
        <v>1.5196759259259259E-2</v>
      </c>
      <c r="M46" s="29" t="s">
        <v>76</v>
      </c>
      <c r="N46" s="40">
        <f t="shared" ref="N46:W46" si="4">AVERAGE(N39:N44)</f>
        <v>8786.6666666666661</v>
      </c>
      <c r="O46" s="40">
        <f t="shared" si="4"/>
        <v>130.16666666666666</v>
      </c>
      <c r="P46" s="40">
        <f t="shared" si="4"/>
        <v>8.7000000000000011</v>
      </c>
      <c r="Q46" s="40">
        <f t="shared" si="4"/>
        <v>-1.85</v>
      </c>
      <c r="R46" s="40">
        <f t="shared" si="4"/>
        <v>2.6</v>
      </c>
      <c r="S46" s="40">
        <f t="shared" si="4"/>
        <v>-38.333333333333336</v>
      </c>
      <c r="T46" s="40">
        <f t="shared" si="4"/>
        <v>439.5</v>
      </c>
      <c r="U46" s="40">
        <f t="shared" si="4"/>
        <v>471.5</v>
      </c>
      <c r="V46" s="40">
        <f t="shared" si="4"/>
        <v>658.5</v>
      </c>
      <c r="W46" s="40">
        <f t="shared" si="4"/>
        <v>2</v>
      </c>
      <c r="X46" s="42">
        <f>AVERAGE(X40:X44)</f>
        <v>2.5289351851851848E-2</v>
      </c>
      <c r="Y46" s="10"/>
    </row>
    <row r="48" spans="1:25" ht="15" thickBot="1" x14ac:dyDescent="0.35"/>
    <row r="49" spans="1:25" ht="18" x14ac:dyDescent="0.35">
      <c r="A49" s="51" t="s">
        <v>80</v>
      </c>
      <c r="B49" s="52"/>
      <c r="C49" s="52"/>
      <c r="D49" s="52"/>
      <c r="E49" s="52"/>
      <c r="F49" s="52"/>
      <c r="G49" s="52"/>
      <c r="H49" s="52"/>
      <c r="I49" s="53"/>
      <c r="M49" s="51" t="s">
        <v>80</v>
      </c>
      <c r="N49" s="52"/>
      <c r="O49" s="52"/>
      <c r="P49" s="52"/>
      <c r="Q49" s="52"/>
      <c r="R49" s="52"/>
      <c r="S49" s="52"/>
      <c r="T49" s="52"/>
      <c r="U49" s="52"/>
      <c r="V49" s="52"/>
      <c r="W49" s="52"/>
      <c r="X49" s="53"/>
    </row>
    <row r="50" spans="1:25" ht="15" thickBot="1" x14ac:dyDescent="0.35">
      <c r="A50" s="24" t="s">
        <v>69</v>
      </c>
      <c r="B50" s="22" t="s">
        <v>28</v>
      </c>
      <c r="C50" s="22" t="s">
        <v>29</v>
      </c>
      <c r="D50" s="22" t="s">
        <v>30</v>
      </c>
      <c r="E50" s="22" t="s">
        <v>31</v>
      </c>
      <c r="F50" s="22" t="s">
        <v>32</v>
      </c>
      <c r="G50" s="22" t="s">
        <v>70</v>
      </c>
      <c r="H50" s="22" t="s">
        <v>34</v>
      </c>
      <c r="I50" s="25" t="s">
        <v>59</v>
      </c>
      <c r="M50" s="24" t="s">
        <v>69</v>
      </c>
      <c r="N50" s="22" t="s">
        <v>28</v>
      </c>
      <c r="O50" s="22" t="s">
        <v>29</v>
      </c>
      <c r="P50" s="22" t="s">
        <v>30</v>
      </c>
      <c r="Q50" s="22" t="s">
        <v>35</v>
      </c>
      <c r="R50" s="22" t="s">
        <v>36</v>
      </c>
      <c r="S50" s="22" t="s">
        <v>37</v>
      </c>
      <c r="T50" s="22" t="s">
        <v>31</v>
      </c>
      <c r="U50" s="22" t="s">
        <v>32</v>
      </c>
      <c r="V50" s="22" t="s">
        <v>38</v>
      </c>
      <c r="W50" s="22" t="s">
        <v>34</v>
      </c>
      <c r="X50" s="31" t="s">
        <v>26</v>
      </c>
    </row>
    <row r="51" spans="1:25" ht="15" thickTop="1" x14ac:dyDescent="0.3">
      <c r="A51" s="10" t="s">
        <v>71</v>
      </c>
      <c r="B51" s="2">
        <v>8990</v>
      </c>
      <c r="C51">
        <v>138</v>
      </c>
      <c r="D51" s="2">
        <v>7.7</v>
      </c>
      <c r="E51" s="2">
        <v>430</v>
      </c>
      <c r="F51" s="2">
        <v>444</v>
      </c>
      <c r="G51" s="2">
        <v>475</v>
      </c>
      <c r="H51" s="30">
        <v>1.8</v>
      </c>
      <c r="I51" s="26">
        <v>1.7141203703703704E-2</v>
      </c>
      <c r="M51" s="10" t="s">
        <v>71</v>
      </c>
      <c r="N51" s="16">
        <v>8090</v>
      </c>
      <c r="O51" s="16">
        <v>171</v>
      </c>
      <c r="P51" s="16">
        <v>4.5999999999999996</v>
      </c>
      <c r="Q51" s="16">
        <v>0.1</v>
      </c>
      <c r="R51" s="21"/>
      <c r="S51" s="21"/>
      <c r="T51" s="16">
        <v>451</v>
      </c>
      <c r="U51" s="16">
        <v>487</v>
      </c>
      <c r="V51" s="21"/>
      <c r="W51" s="21"/>
      <c r="X51" s="37">
        <v>2.9976851851851852E-2</v>
      </c>
    </row>
    <row r="52" spans="1:25" x14ac:dyDescent="0.3">
      <c r="A52" s="10" t="s">
        <v>72</v>
      </c>
      <c r="B52" s="2">
        <v>8990</v>
      </c>
      <c r="C52">
        <v>136</v>
      </c>
      <c r="D52" s="2">
        <v>8.1</v>
      </c>
      <c r="E52" s="2">
        <v>455</v>
      </c>
      <c r="F52" s="2">
        <v>474</v>
      </c>
      <c r="G52" s="2">
        <v>467</v>
      </c>
      <c r="H52" s="2">
        <v>1.5</v>
      </c>
      <c r="I52" s="26">
        <v>1.712962962962963E-2</v>
      </c>
      <c r="M52" s="10" t="s">
        <v>72</v>
      </c>
      <c r="N52" s="2">
        <v>8090</v>
      </c>
      <c r="O52" s="2">
        <v>171</v>
      </c>
      <c r="P52" s="2">
        <v>4.7</v>
      </c>
      <c r="Q52" s="2">
        <v>0.1</v>
      </c>
      <c r="R52" s="2">
        <v>2.6</v>
      </c>
      <c r="S52" s="2">
        <v>20</v>
      </c>
      <c r="T52" s="2">
        <v>453</v>
      </c>
      <c r="U52" s="2">
        <v>487</v>
      </c>
      <c r="V52" s="2"/>
      <c r="W52" s="13"/>
      <c r="X52" s="33">
        <v>2.7777777777777776E-2</v>
      </c>
    </row>
    <row r="53" spans="1:25" x14ac:dyDescent="0.3">
      <c r="A53" s="10" t="s">
        <v>73</v>
      </c>
      <c r="B53" s="2">
        <v>8990</v>
      </c>
      <c r="C53">
        <v>135</v>
      </c>
      <c r="D53" s="2">
        <v>8.1</v>
      </c>
      <c r="E53" s="2">
        <v>457</v>
      </c>
      <c r="F53" s="2">
        <v>473</v>
      </c>
      <c r="G53" s="2">
        <v>474</v>
      </c>
      <c r="H53" s="2">
        <v>1.5</v>
      </c>
      <c r="I53" s="26">
        <v>1.6493055555555556E-2</v>
      </c>
      <c r="M53" s="10" t="s">
        <v>73</v>
      </c>
      <c r="N53" s="2">
        <v>8090</v>
      </c>
      <c r="O53" s="2">
        <v>171</v>
      </c>
      <c r="P53" s="2">
        <v>4.5999999999999996</v>
      </c>
      <c r="Q53" s="2"/>
      <c r="R53" s="2">
        <v>2.6</v>
      </c>
      <c r="S53" s="2">
        <v>20</v>
      </c>
      <c r="T53" s="2"/>
      <c r="U53" s="2"/>
      <c r="V53" s="2"/>
      <c r="W53" s="13"/>
      <c r="X53" s="33">
        <v>2.7719907407407408E-2</v>
      </c>
    </row>
    <row r="54" spans="1:25" x14ac:dyDescent="0.3">
      <c r="A54" s="10" t="s">
        <v>74</v>
      </c>
      <c r="B54" s="2">
        <v>9010</v>
      </c>
      <c r="C54">
        <v>138</v>
      </c>
      <c r="D54" s="2">
        <v>7.7</v>
      </c>
      <c r="E54" s="2">
        <v>425</v>
      </c>
      <c r="F54" s="2">
        <v>444</v>
      </c>
      <c r="G54" s="2">
        <v>480</v>
      </c>
      <c r="H54" s="2">
        <v>1.8</v>
      </c>
      <c r="I54" s="26">
        <v>1.7175925925925924E-2</v>
      </c>
      <c r="M54" s="10" t="s">
        <v>74</v>
      </c>
      <c r="N54" s="2">
        <v>8090</v>
      </c>
      <c r="O54" s="2">
        <v>171</v>
      </c>
      <c r="P54" s="2">
        <v>4.5</v>
      </c>
      <c r="Q54" s="2"/>
      <c r="R54" s="2"/>
      <c r="S54" s="2"/>
      <c r="T54" s="2"/>
      <c r="U54" s="2"/>
      <c r="V54" s="2">
        <v>708</v>
      </c>
      <c r="W54" s="2">
        <v>5.3</v>
      </c>
      <c r="X54" s="33">
        <v>2.7766203703703703E-2</v>
      </c>
    </row>
    <row r="55" spans="1:25" x14ac:dyDescent="0.3">
      <c r="A55" s="10" t="s">
        <v>75</v>
      </c>
      <c r="B55" s="2">
        <v>8980</v>
      </c>
      <c r="C55">
        <v>135</v>
      </c>
      <c r="D55" s="2">
        <v>8.1999999999999993</v>
      </c>
      <c r="E55" s="2">
        <v>455</v>
      </c>
      <c r="F55" s="2">
        <v>472</v>
      </c>
      <c r="G55" s="2">
        <v>464</v>
      </c>
      <c r="H55" s="2">
        <v>1.5</v>
      </c>
      <c r="I55" s="26">
        <v>1.7071759259259259E-2</v>
      </c>
      <c r="M55" s="10" t="s">
        <v>75</v>
      </c>
      <c r="N55" s="2">
        <v>8090</v>
      </c>
      <c r="O55" s="2">
        <v>171</v>
      </c>
      <c r="P55" s="2">
        <v>4.5999999999999996</v>
      </c>
      <c r="Q55" s="2"/>
      <c r="R55" s="2"/>
      <c r="S55" s="2">
        <v>20</v>
      </c>
      <c r="T55" s="2"/>
      <c r="U55" s="2"/>
      <c r="V55" s="2"/>
      <c r="W55" s="2">
        <v>5.3</v>
      </c>
      <c r="X55" s="33">
        <v>2.7604166666666666E-2</v>
      </c>
    </row>
    <row r="56" spans="1:25" x14ac:dyDescent="0.3">
      <c r="A56" s="10" t="s">
        <v>54</v>
      </c>
      <c r="B56" s="2">
        <v>9000</v>
      </c>
      <c r="C56">
        <v>138</v>
      </c>
      <c r="D56" s="2">
        <v>7.8</v>
      </c>
      <c r="E56" s="2">
        <v>424</v>
      </c>
      <c r="F56" s="2">
        <v>445</v>
      </c>
      <c r="G56" s="2">
        <v>477</v>
      </c>
      <c r="H56" s="2">
        <v>1.8</v>
      </c>
      <c r="I56" s="26">
        <v>1.7013888888888887E-2</v>
      </c>
      <c r="M56" s="10" t="s">
        <v>54</v>
      </c>
      <c r="N56" s="2">
        <v>8090</v>
      </c>
      <c r="O56" s="2">
        <v>171</v>
      </c>
      <c r="P56" s="2">
        <v>4.5999999999999996</v>
      </c>
      <c r="Q56" s="2"/>
      <c r="R56" s="2">
        <v>2.6</v>
      </c>
      <c r="S56" s="2"/>
      <c r="T56" s="2"/>
      <c r="U56" s="2"/>
      <c r="V56" s="2">
        <v>728</v>
      </c>
      <c r="W56" s="13"/>
      <c r="X56" s="33">
        <v>2.7719907407407408E-2</v>
      </c>
    </row>
    <row r="57" spans="1:25" x14ac:dyDescent="0.3">
      <c r="A57" s="27"/>
      <c r="B57" s="23"/>
      <c r="C57" s="23"/>
      <c r="D57" s="23"/>
      <c r="E57" s="23"/>
      <c r="F57" s="23"/>
      <c r="G57" s="23"/>
      <c r="H57" s="23"/>
      <c r="I57" s="28"/>
      <c r="M57" s="27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8"/>
    </row>
    <row r="58" spans="1:25" ht="15" thickBot="1" x14ac:dyDescent="0.35">
      <c r="A58" s="29" t="s">
        <v>76</v>
      </c>
      <c r="B58" s="35">
        <f>AVERAGE(B51:B56)</f>
        <v>8993.3333333333339</v>
      </c>
      <c r="C58" s="35">
        <f>AVERAGE(C51:C56)</f>
        <v>136.66666666666666</v>
      </c>
      <c r="D58" s="35">
        <f>AVERAGE(D51:D56)</f>
        <v>7.9333333333333327</v>
      </c>
      <c r="E58" s="35">
        <f>AVERAGE(E51:E56)</f>
        <v>441</v>
      </c>
      <c r="F58" s="35">
        <f>AVERAGE(F51:F56)</f>
        <v>458.66666666666669</v>
      </c>
      <c r="G58" s="35">
        <f>AVERAGE(G51:G56)</f>
        <v>472.83333333333331</v>
      </c>
      <c r="H58" s="35">
        <f>AVERAGE(H51:H56)</f>
        <v>1.6500000000000001</v>
      </c>
      <c r="I58" s="36">
        <f>AVERAGE(I51:I56)</f>
        <v>1.7004243827160492E-2</v>
      </c>
      <c r="M58" s="29" t="s">
        <v>76</v>
      </c>
      <c r="N58" s="40">
        <f t="shared" ref="N58:W58" si="5">AVERAGE(N51:N56)</f>
        <v>8090</v>
      </c>
      <c r="O58" s="40">
        <f t="shared" si="5"/>
        <v>171</v>
      </c>
      <c r="P58" s="40">
        <f t="shared" si="5"/>
        <v>4.6000000000000005</v>
      </c>
      <c r="Q58" s="40">
        <f t="shared" si="5"/>
        <v>0.1</v>
      </c>
      <c r="R58" s="40">
        <f t="shared" si="5"/>
        <v>2.6</v>
      </c>
      <c r="S58" s="40">
        <f t="shared" si="5"/>
        <v>20</v>
      </c>
      <c r="T58" s="40">
        <f t="shared" si="5"/>
        <v>452</v>
      </c>
      <c r="U58" s="40">
        <f t="shared" si="5"/>
        <v>487</v>
      </c>
      <c r="V58" s="40">
        <f t="shared" si="5"/>
        <v>718</v>
      </c>
      <c r="W58" s="40">
        <f t="shared" si="5"/>
        <v>5.3</v>
      </c>
      <c r="X58" s="42">
        <f>AVERAGE(X52:X56)</f>
        <v>2.7717592592592592E-2</v>
      </c>
      <c r="Y58" s="10"/>
    </row>
    <row r="59" spans="1:25" ht="15" thickBot="1" x14ac:dyDescent="0.35"/>
    <row r="60" spans="1:25" ht="18" x14ac:dyDescent="0.35">
      <c r="A60" s="51" t="s">
        <v>81</v>
      </c>
      <c r="B60" s="52"/>
      <c r="C60" s="52"/>
      <c r="D60" s="52"/>
      <c r="E60" s="52"/>
      <c r="F60" s="52"/>
      <c r="G60" s="52"/>
      <c r="H60" s="52"/>
      <c r="I60" s="53"/>
      <c r="M60" s="51" t="s">
        <v>81</v>
      </c>
      <c r="N60" s="52"/>
      <c r="O60" s="52"/>
      <c r="P60" s="52"/>
      <c r="Q60" s="52"/>
      <c r="R60" s="52"/>
      <c r="S60" s="52"/>
      <c r="T60" s="52"/>
      <c r="U60" s="52"/>
      <c r="V60" s="52"/>
      <c r="W60" s="52"/>
      <c r="X60" s="53"/>
    </row>
    <row r="61" spans="1:25" ht="15" thickBot="1" x14ac:dyDescent="0.35">
      <c r="A61" s="24" t="s">
        <v>69</v>
      </c>
      <c r="B61" s="22" t="s">
        <v>28</v>
      </c>
      <c r="C61" s="22" t="s">
        <v>29</v>
      </c>
      <c r="D61" s="22" t="s">
        <v>30</v>
      </c>
      <c r="E61" s="22" t="s">
        <v>31</v>
      </c>
      <c r="F61" s="22" t="s">
        <v>32</v>
      </c>
      <c r="G61" s="22" t="s">
        <v>70</v>
      </c>
      <c r="H61" s="1" t="s">
        <v>34</v>
      </c>
      <c r="I61" s="25" t="s">
        <v>59</v>
      </c>
      <c r="M61" s="24" t="s">
        <v>69</v>
      </c>
      <c r="N61" s="22" t="s">
        <v>28</v>
      </c>
      <c r="O61" s="22" t="s">
        <v>29</v>
      </c>
      <c r="P61" s="22" t="s">
        <v>30</v>
      </c>
      <c r="Q61" s="22" t="s">
        <v>35</v>
      </c>
      <c r="R61" s="22" t="s">
        <v>36</v>
      </c>
      <c r="S61" s="22" t="s">
        <v>37</v>
      </c>
      <c r="T61" s="22" t="s">
        <v>31</v>
      </c>
      <c r="U61" s="22" t="s">
        <v>32</v>
      </c>
      <c r="V61" s="22" t="s">
        <v>38</v>
      </c>
      <c r="W61" s="22" t="s">
        <v>34</v>
      </c>
      <c r="X61" s="31" t="s">
        <v>26</v>
      </c>
    </row>
    <row r="62" spans="1:25" ht="15" thickTop="1" x14ac:dyDescent="0.3">
      <c r="A62" s="10" t="s">
        <v>71</v>
      </c>
      <c r="B62" s="2">
        <v>9000</v>
      </c>
      <c r="C62" s="2">
        <v>119</v>
      </c>
      <c r="D62" s="2">
        <v>10.8</v>
      </c>
      <c r="E62" s="2">
        <v>448</v>
      </c>
      <c r="F62" s="2">
        <v>475</v>
      </c>
      <c r="G62" s="2">
        <v>511</v>
      </c>
      <c r="H62" s="30">
        <v>0.8</v>
      </c>
      <c r="I62" s="33">
        <v>1.8749999999999999E-2</v>
      </c>
      <c r="M62" s="10" t="s">
        <v>71</v>
      </c>
      <c r="N62" s="16">
        <v>7810</v>
      </c>
      <c r="O62" s="16">
        <v>179</v>
      </c>
      <c r="P62" s="16">
        <v>4</v>
      </c>
      <c r="Q62" s="16">
        <v>0.3</v>
      </c>
      <c r="R62" s="21"/>
      <c r="S62" s="16">
        <v>36</v>
      </c>
      <c r="T62" s="16">
        <v>458</v>
      </c>
      <c r="U62" s="16">
        <v>492</v>
      </c>
      <c r="V62" s="21"/>
      <c r="W62" s="21"/>
      <c r="X62" s="37">
        <v>3.0752314814814816E-2</v>
      </c>
    </row>
    <row r="63" spans="1:25" x14ac:dyDescent="0.3">
      <c r="A63" s="10" t="s">
        <v>72</v>
      </c>
      <c r="B63" s="2">
        <v>9000</v>
      </c>
      <c r="C63" s="2">
        <v>118</v>
      </c>
      <c r="D63" s="2">
        <v>10.9</v>
      </c>
      <c r="E63" s="2">
        <v>449</v>
      </c>
      <c r="F63" s="2">
        <v>508</v>
      </c>
      <c r="G63" s="2">
        <v>508</v>
      </c>
      <c r="H63" s="2">
        <v>0.8</v>
      </c>
      <c r="I63" s="33">
        <v>1.8761574074074073E-2</v>
      </c>
      <c r="M63" s="10" t="s">
        <v>72</v>
      </c>
      <c r="N63" s="2">
        <v>7850</v>
      </c>
      <c r="O63" s="2">
        <v>179</v>
      </c>
      <c r="P63" s="2">
        <v>4</v>
      </c>
      <c r="Q63" s="2">
        <v>0.3</v>
      </c>
      <c r="R63" s="2">
        <v>2.6</v>
      </c>
      <c r="S63" s="2">
        <v>37</v>
      </c>
      <c r="T63" s="2">
        <v>457</v>
      </c>
      <c r="U63" s="2">
        <v>493</v>
      </c>
      <c r="V63" s="2"/>
      <c r="W63" s="13"/>
      <c r="X63" s="33">
        <v>2.8587962962962964E-2</v>
      </c>
    </row>
    <row r="64" spans="1:25" x14ac:dyDescent="0.3">
      <c r="A64" s="10" t="s">
        <v>73</v>
      </c>
      <c r="B64" s="2">
        <v>8990</v>
      </c>
      <c r="C64" s="2">
        <v>118</v>
      </c>
      <c r="D64" s="2">
        <v>10.9</v>
      </c>
      <c r="E64" s="2">
        <v>447</v>
      </c>
      <c r="F64" s="2">
        <v>476</v>
      </c>
      <c r="G64" s="2">
        <v>508</v>
      </c>
      <c r="H64" s="2">
        <v>0.8</v>
      </c>
      <c r="I64" s="33">
        <v>1.8576388888888889E-2</v>
      </c>
      <c r="M64" s="10" t="s">
        <v>73</v>
      </c>
      <c r="N64" s="2">
        <v>7800</v>
      </c>
      <c r="O64" s="2">
        <v>179</v>
      </c>
      <c r="P64" s="2">
        <v>3.1</v>
      </c>
      <c r="Q64" s="2"/>
      <c r="R64" s="2">
        <v>2.6</v>
      </c>
      <c r="S64" s="2">
        <v>35</v>
      </c>
      <c r="T64" s="2"/>
      <c r="U64" s="2"/>
      <c r="V64" s="2"/>
      <c r="W64" s="13"/>
      <c r="X64" s="33">
        <v>2.8530092592592593E-2</v>
      </c>
    </row>
    <row r="65" spans="1:25" x14ac:dyDescent="0.3">
      <c r="A65" s="10" t="s">
        <v>74</v>
      </c>
      <c r="B65" s="2">
        <v>9000</v>
      </c>
      <c r="C65" s="2">
        <v>118</v>
      </c>
      <c r="D65" s="2">
        <v>10.8</v>
      </c>
      <c r="E65" s="2">
        <v>445</v>
      </c>
      <c r="F65" s="2">
        <v>477</v>
      </c>
      <c r="G65" s="2">
        <v>509</v>
      </c>
      <c r="H65" s="2">
        <v>0.8</v>
      </c>
      <c r="I65" s="33">
        <v>1.892361111111111E-2</v>
      </c>
      <c r="M65" s="10" t="s">
        <v>74</v>
      </c>
      <c r="N65" s="2">
        <v>7810</v>
      </c>
      <c r="O65" s="2">
        <v>179</v>
      </c>
      <c r="P65" s="2">
        <v>4.0999999999999996</v>
      </c>
      <c r="Q65" s="2"/>
      <c r="R65" s="2"/>
      <c r="S65" s="2"/>
      <c r="T65" s="2"/>
      <c r="U65" s="2"/>
      <c r="V65" s="2">
        <v>728</v>
      </c>
      <c r="W65" s="2">
        <v>6.3</v>
      </c>
      <c r="X65" s="33">
        <v>2.8587962962962964E-2</v>
      </c>
    </row>
    <row r="66" spans="1:25" x14ac:dyDescent="0.3">
      <c r="A66" s="10" t="s">
        <v>75</v>
      </c>
      <c r="B66" s="2">
        <v>8990</v>
      </c>
      <c r="C66" s="2">
        <v>119</v>
      </c>
      <c r="D66" s="2">
        <v>10.8</v>
      </c>
      <c r="E66" s="2">
        <v>450</v>
      </c>
      <c r="F66" s="2">
        <v>475</v>
      </c>
      <c r="G66" s="2">
        <v>508</v>
      </c>
      <c r="H66" s="2">
        <v>0.8</v>
      </c>
      <c r="I66" s="33">
        <v>1.8576388888888889E-2</v>
      </c>
      <c r="M66" s="10" t="s">
        <v>75</v>
      </c>
      <c r="N66" s="2">
        <v>7810</v>
      </c>
      <c r="O66" s="2">
        <v>179</v>
      </c>
      <c r="P66" s="2">
        <v>4</v>
      </c>
      <c r="Q66" s="2"/>
      <c r="R66" s="2"/>
      <c r="S66" s="2">
        <v>35</v>
      </c>
      <c r="T66" s="2"/>
      <c r="U66" s="2"/>
      <c r="V66" s="2"/>
      <c r="W66" s="2">
        <v>6.3</v>
      </c>
      <c r="X66" s="33">
        <v>2.8530092592592593E-2</v>
      </c>
    </row>
    <row r="67" spans="1:25" x14ac:dyDescent="0.3">
      <c r="A67" s="10" t="s">
        <v>54</v>
      </c>
      <c r="B67" s="2">
        <v>9000</v>
      </c>
      <c r="C67" s="2">
        <v>118</v>
      </c>
      <c r="D67" s="2">
        <v>10.8</v>
      </c>
      <c r="E67" s="2">
        <v>447</v>
      </c>
      <c r="F67" s="2">
        <v>477</v>
      </c>
      <c r="G67" s="2">
        <v>517</v>
      </c>
      <c r="H67" s="2">
        <v>0.8</v>
      </c>
      <c r="I67" s="33">
        <v>1.8576388888888889E-2</v>
      </c>
      <c r="M67" s="10" t="s">
        <v>54</v>
      </c>
      <c r="N67" s="2">
        <v>7810</v>
      </c>
      <c r="O67" s="2">
        <v>179</v>
      </c>
      <c r="P67" s="2">
        <v>4</v>
      </c>
      <c r="Q67" s="2"/>
      <c r="R67" s="2">
        <v>2.6</v>
      </c>
      <c r="S67" s="2"/>
      <c r="T67" s="2"/>
      <c r="U67" s="2"/>
      <c r="V67" s="2">
        <v>764</v>
      </c>
      <c r="W67" s="13"/>
      <c r="X67" s="33">
        <v>2.8472222222222222E-2</v>
      </c>
    </row>
    <row r="68" spans="1:25" x14ac:dyDescent="0.3">
      <c r="A68" s="27"/>
      <c r="B68" s="23"/>
      <c r="C68" s="23"/>
      <c r="D68" s="23"/>
      <c r="E68" s="23"/>
      <c r="F68" s="23"/>
      <c r="G68" s="23"/>
      <c r="H68" s="23"/>
      <c r="I68" s="28"/>
      <c r="M68" s="27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8"/>
    </row>
    <row r="69" spans="1:25" ht="15" thickBot="1" x14ac:dyDescent="0.35">
      <c r="A69" s="29" t="s">
        <v>76</v>
      </c>
      <c r="B69" s="35">
        <f>AVERAGE(B62:B67)</f>
        <v>8996.6666666666661</v>
      </c>
      <c r="C69" s="35">
        <f>AVERAGE(C62:C67)</f>
        <v>118.33333333333333</v>
      </c>
      <c r="D69" s="35">
        <f>AVERAGE(D62:D67)</f>
        <v>10.833333333333334</v>
      </c>
      <c r="E69" s="35">
        <f>AVERAGE(E62:E67)</f>
        <v>447.66666666666669</v>
      </c>
      <c r="F69" s="35">
        <f>AVERAGE(F62:F67)</f>
        <v>481.33333333333331</v>
      </c>
      <c r="G69" s="35">
        <f>AVERAGE(G62:G67)</f>
        <v>510.16666666666669</v>
      </c>
      <c r="H69" s="35">
        <f>AVERAGE(H62:H67)</f>
        <v>0.79999999999999993</v>
      </c>
      <c r="I69" s="36">
        <f>AVERAGE(I62:I67)</f>
        <v>1.8694058641975309E-2</v>
      </c>
      <c r="M69" s="29" t="s">
        <v>76</v>
      </c>
      <c r="N69" s="40">
        <f t="shared" ref="N69:W69" si="6">AVERAGE(N62:N67)</f>
        <v>7815</v>
      </c>
      <c r="O69" s="40">
        <f t="shared" si="6"/>
        <v>179</v>
      </c>
      <c r="P69" s="40">
        <f t="shared" si="6"/>
        <v>3.8666666666666667</v>
      </c>
      <c r="Q69" s="40">
        <f t="shared" si="6"/>
        <v>0.3</v>
      </c>
      <c r="R69" s="40">
        <f t="shared" si="6"/>
        <v>2.6</v>
      </c>
      <c r="S69" s="40">
        <f t="shared" si="6"/>
        <v>35.75</v>
      </c>
      <c r="T69" s="40">
        <f t="shared" si="6"/>
        <v>457.5</v>
      </c>
      <c r="U69" s="40">
        <f t="shared" si="6"/>
        <v>492.5</v>
      </c>
      <c r="V69" s="40">
        <f t="shared" si="6"/>
        <v>746</v>
      </c>
      <c r="W69" s="40">
        <f t="shared" si="6"/>
        <v>6.3</v>
      </c>
      <c r="X69" s="42">
        <f>AVERAGE(X63:X67)</f>
        <v>2.854166666666667E-2</v>
      </c>
      <c r="Y69" s="10"/>
    </row>
    <row r="70" spans="1:25" ht="15" thickBot="1" x14ac:dyDescent="0.35"/>
    <row r="71" spans="1:25" ht="18" x14ac:dyDescent="0.35">
      <c r="M71" s="51" t="s">
        <v>82</v>
      </c>
      <c r="N71" s="52"/>
      <c r="O71" s="52"/>
      <c r="P71" s="52"/>
      <c r="Q71" s="52"/>
      <c r="R71" s="52"/>
      <c r="S71" s="52"/>
      <c r="T71" s="52"/>
      <c r="U71" s="52"/>
      <c r="V71" s="52"/>
      <c r="W71" s="52"/>
      <c r="X71" s="53"/>
    </row>
    <row r="72" spans="1:25" ht="15" thickBot="1" x14ac:dyDescent="0.35">
      <c r="M72" s="24" t="s">
        <v>69</v>
      </c>
      <c r="N72" s="22" t="s">
        <v>28</v>
      </c>
      <c r="O72" s="22" t="s">
        <v>29</v>
      </c>
      <c r="P72" s="22" t="s">
        <v>30</v>
      </c>
      <c r="Q72" s="22" t="s">
        <v>35</v>
      </c>
      <c r="R72" s="22" t="s">
        <v>36</v>
      </c>
      <c r="S72" s="22" t="s">
        <v>37</v>
      </c>
      <c r="T72" s="22" t="s">
        <v>31</v>
      </c>
      <c r="U72" s="22" t="s">
        <v>32</v>
      </c>
      <c r="V72" s="22" t="s">
        <v>38</v>
      </c>
      <c r="W72" s="22" t="s">
        <v>34</v>
      </c>
      <c r="X72" s="31" t="s">
        <v>26</v>
      </c>
    </row>
    <row r="73" spans="1:25" ht="15" thickTop="1" x14ac:dyDescent="0.3">
      <c r="M73" s="10" t="s">
        <v>71</v>
      </c>
      <c r="N73" s="16">
        <v>7320</v>
      </c>
      <c r="O73" s="16">
        <v>188</v>
      </c>
      <c r="P73" s="16">
        <v>3.5</v>
      </c>
      <c r="Q73" s="16">
        <v>0.6</v>
      </c>
      <c r="R73" s="16"/>
      <c r="S73" s="16">
        <v>57</v>
      </c>
      <c r="T73" s="16">
        <v>467</v>
      </c>
      <c r="U73" s="16">
        <v>500</v>
      </c>
      <c r="V73" s="16"/>
      <c r="W73" s="17"/>
      <c r="X73" s="38">
        <v>3.0752314814814816E-2</v>
      </c>
    </row>
    <row r="74" spans="1:25" x14ac:dyDescent="0.3">
      <c r="A74" s="50"/>
      <c r="B74" s="50"/>
      <c r="C74" s="50"/>
      <c r="D74" s="50"/>
      <c r="E74" s="50"/>
      <c r="F74" s="50"/>
      <c r="G74" s="50"/>
      <c r="M74" s="10" t="s">
        <v>72</v>
      </c>
      <c r="N74" s="2">
        <v>7300</v>
      </c>
      <c r="O74" s="2">
        <v>188</v>
      </c>
      <c r="P74" s="2">
        <v>3.5</v>
      </c>
      <c r="Q74" s="2">
        <v>0.7</v>
      </c>
      <c r="R74" s="2">
        <v>2.6</v>
      </c>
      <c r="S74" s="2">
        <v>60</v>
      </c>
      <c r="T74" s="2">
        <v>465</v>
      </c>
      <c r="U74" s="2">
        <v>499</v>
      </c>
      <c r="V74" s="2"/>
      <c r="W74" s="13"/>
      <c r="X74" s="32">
        <v>2.9664351851851851E-2</v>
      </c>
    </row>
    <row r="75" spans="1:25" x14ac:dyDescent="0.3">
      <c r="M75" s="10" t="s">
        <v>73</v>
      </c>
      <c r="N75" s="2">
        <v>7250</v>
      </c>
      <c r="O75" s="2">
        <v>188</v>
      </c>
      <c r="P75" s="2">
        <v>3.5</v>
      </c>
      <c r="Q75" s="2"/>
      <c r="R75" s="2">
        <v>2.6</v>
      </c>
      <c r="S75" s="2">
        <v>55</v>
      </c>
      <c r="T75" s="2"/>
      <c r="U75" s="2"/>
      <c r="V75" s="2"/>
      <c r="W75" s="13"/>
      <c r="X75" s="32">
        <v>2.9328703703703704E-2</v>
      </c>
    </row>
    <row r="76" spans="1:25" x14ac:dyDescent="0.3">
      <c r="M76" s="10" t="s">
        <v>74</v>
      </c>
      <c r="N76" s="2">
        <v>7340</v>
      </c>
      <c r="O76" s="2">
        <v>188</v>
      </c>
      <c r="P76" s="2">
        <v>3.6</v>
      </c>
      <c r="Q76" s="2"/>
      <c r="R76" s="2"/>
      <c r="S76" s="2"/>
      <c r="T76" s="2"/>
      <c r="U76" s="2"/>
      <c r="V76" s="2">
        <v>750</v>
      </c>
      <c r="W76" s="2">
        <v>7.5</v>
      </c>
      <c r="X76" s="33">
        <v>2.9664351851851851E-2</v>
      </c>
    </row>
    <row r="77" spans="1:25" x14ac:dyDescent="0.3">
      <c r="M77" s="10" t="s">
        <v>75</v>
      </c>
      <c r="N77" s="2">
        <v>7310</v>
      </c>
      <c r="O77" s="2">
        <v>188</v>
      </c>
      <c r="P77" s="2">
        <v>3.5</v>
      </c>
      <c r="Q77" s="2"/>
      <c r="R77" s="2"/>
      <c r="S77" s="2">
        <v>58</v>
      </c>
      <c r="T77" s="2"/>
      <c r="U77" s="2"/>
      <c r="V77" s="2"/>
      <c r="W77" s="2">
        <v>7.5</v>
      </c>
      <c r="X77" s="33">
        <v>2.9571759259259259E-2</v>
      </c>
    </row>
    <row r="78" spans="1:25" x14ac:dyDescent="0.3">
      <c r="M78" s="10" t="s">
        <v>54</v>
      </c>
      <c r="N78" s="2">
        <v>7270</v>
      </c>
      <c r="O78" s="2">
        <v>189</v>
      </c>
      <c r="P78" s="2">
        <v>3.5</v>
      </c>
      <c r="Q78" s="2"/>
      <c r="R78" s="2">
        <v>2.6</v>
      </c>
      <c r="S78" s="2"/>
      <c r="T78" s="2"/>
      <c r="U78" s="2"/>
      <c r="V78" s="2">
        <v>754</v>
      </c>
      <c r="W78" s="2"/>
      <c r="X78" s="33">
        <v>2.9629629629629631E-2</v>
      </c>
    </row>
    <row r="79" spans="1:25" x14ac:dyDescent="0.3">
      <c r="M79" s="27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8"/>
    </row>
    <row r="80" spans="1:25" ht="15" thickBot="1" x14ac:dyDescent="0.35">
      <c r="M80" s="29" t="s">
        <v>76</v>
      </c>
      <c r="N80" s="40">
        <f t="shared" ref="N80:W80" si="7">AVERAGE(N73:N78)</f>
        <v>7298.333333333333</v>
      </c>
      <c r="O80" s="40">
        <f t="shared" si="7"/>
        <v>188.16666666666666</v>
      </c>
      <c r="P80" s="40">
        <f t="shared" si="7"/>
        <v>3.5166666666666671</v>
      </c>
      <c r="Q80" s="40">
        <f t="shared" si="7"/>
        <v>0.64999999999999991</v>
      </c>
      <c r="R80" s="40">
        <f t="shared" si="7"/>
        <v>2.6</v>
      </c>
      <c r="S80" s="40">
        <f t="shared" si="7"/>
        <v>57.5</v>
      </c>
      <c r="T80" s="40">
        <f t="shared" si="7"/>
        <v>466</v>
      </c>
      <c r="U80" s="40">
        <f t="shared" si="7"/>
        <v>499.5</v>
      </c>
      <c r="V80" s="40">
        <f t="shared" si="7"/>
        <v>752</v>
      </c>
      <c r="W80" s="40">
        <f t="shared" si="7"/>
        <v>7.5</v>
      </c>
      <c r="X80" s="42">
        <f>AVERAGE(X74:X78)</f>
        <v>2.9571759259259256E-2</v>
      </c>
      <c r="Y80" s="10"/>
    </row>
    <row r="81" spans="13:24" ht="15" thickBot="1" x14ac:dyDescent="0.35"/>
    <row r="82" spans="13:24" ht="18" x14ac:dyDescent="0.35">
      <c r="M82" s="51" t="s">
        <v>83</v>
      </c>
      <c r="N82" s="52"/>
      <c r="O82" s="52"/>
      <c r="P82" s="52"/>
      <c r="Q82" s="52"/>
      <c r="R82" s="52"/>
      <c r="S82" s="52"/>
      <c r="T82" s="52"/>
      <c r="U82" s="52"/>
      <c r="V82" s="52"/>
      <c r="W82" s="52"/>
      <c r="X82" s="53"/>
    </row>
    <row r="83" spans="13:24" ht="15" thickBot="1" x14ac:dyDescent="0.35">
      <c r="M83" s="24" t="s">
        <v>69</v>
      </c>
      <c r="N83" s="22" t="s">
        <v>28</v>
      </c>
      <c r="O83" s="22" t="s">
        <v>29</v>
      </c>
      <c r="P83" s="22" t="s">
        <v>30</v>
      </c>
      <c r="Q83" s="22" t="s">
        <v>35</v>
      </c>
      <c r="R83" s="22" t="s">
        <v>36</v>
      </c>
      <c r="S83" s="22" t="s">
        <v>37</v>
      </c>
      <c r="T83" s="22" t="s">
        <v>31</v>
      </c>
      <c r="U83" s="22" t="s">
        <v>32</v>
      </c>
      <c r="V83" s="22" t="s">
        <v>38</v>
      </c>
      <c r="W83" s="22" t="s">
        <v>34</v>
      </c>
      <c r="X83" s="31" t="s">
        <v>26</v>
      </c>
    </row>
    <row r="84" spans="13:24" ht="15" thickTop="1" x14ac:dyDescent="0.3">
      <c r="M84" s="10" t="s">
        <v>71</v>
      </c>
      <c r="N84" s="16">
        <v>7690</v>
      </c>
      <c r="O84" s="16">
        <v>161</v>
      </c>
      <c r="P84" s="16">
        <v>5.3</v>
      </c>
      <c r="Q84" s="16">
        <v>-0.3</v>
      </c>
      <c r="R84" s="16"/>
      <c r="S84" s="16">
        <v>-1</v>
      </c>
      <c r="T84" s="16">
        <v>457</v>
      </c>
      <c r="U84" s="16">
        <v>491</v>
      </c>
      <c r="V84" s="16"/>
      <c r="W84" s="16"/>
      <c r="X84" s="39">
        <v>3.0752314814814816E-2</v>
      </c>
    </row>
    <row r="85" spans="13:24" x14ac:dyDescent="0.3">
      <c r="M85" s="10" t="s">
        <v>72</v>
      </c>
      <c r="N85" s="2">
        <v>7680</v>
      </c>
      <c r="O85" s="2">
        <v>160.5</v>
      </c>
      <c r="P85" s="2">
        <v>5.2</v>
      </c>
      <c r="Q85" s="2">
        <v>-0.3</v>
      </c>
      <c r="R85" s="2">
        <v>2.6</v>
      </c>
      <c r="S85" s="2">
        <v>-1</v>
      </c>
      <c r="T85" s="2">
        <v>458</v>
      </c>
      <c r="U85" s="2">
        <v>491</v>
      </c>
      <c r="V85" s="2"/>
      <c r="W85" s="2"/>
      <c r="X85" s="32">
        <v>3.09375E-2</v>
      </c>
    </row>
    <row r="86" spans="13:24" x14ac:dyDescent="0.3">
      <c r="M86" s="10" t="s">
        <v>73</v>
      </c>
      <c r="N86" s="2">
        <v>7700</v>
      </c>
      <c r="O86" s="2">
        <v>161</v>
      </c>
      <c r="P86" s="2">
        <v>5.3</v>
      </c>
      <c r="Q86" s="2"/>
      <c r="R86" s="2">
        <v>2.6</v>
      </c>
      <c r="S86" s="2">
        <v>-1</v>
      </c>
      <c r="T86" s="2"/>
      <c r="U86" s="2"/>
      <c r="V86" s="2"/>
      <c r="W86" s="2"/>
      <c r="X86" s="32">
        <v>3.09375E-2</v>
      </c>
    </row>
    <row r="87" spans="13:24" x14ac:dyDescent="0.3">
      <c r="M87" s="10" t="s">
        <v>74</v>
      </c>
      <c r="N87" s="2">
        <v>7680</v>
      </c>
      <c r="O87" s="2">
        <v>161</v>
      </c>
      <c r="P87" s="2">
        <v>5.3</v>
      </c>
      <c r="Q87" s="2"/>
      <c r="R87" s="2"/>
      <c r="S87" s="2"/>
      <c r="T87" s="2"/>
      <c r="U87" s="2"/>
      <c r="V87" s="2">
        <v>782</v>
      </c>
      <c r="W87" s="2">
        <v>5.3</v>
      </c>
      <c r="X87" s="33">
        <v>3.0949074074074073E-2</v>
      </c>
    </row>
    <row r="88" spans="13:24" x14ac:dyDescent="0.3">
      <c r="M88" s="10" t="s">
        <v>75</v>
      </c>
      <c r="N88" s="2">
        <v>7670</v>
      </c>
      <c r="O88" s="2">
        <v>161</v>
      </c>
      <c r="P88" s="2">
        <v>5.2</v>
      </c>
      <c r="Q88" s="2"/>
      <c r="R88" s="2"/>
      <c r="S88" s="2">
        <v>-1</v>
      </c>
      <c r="T88" s="2"/>
      <c r="U88" s="2"/>
      <c r="V88" s="2"/>
      <c r="W88" s="2">
        <v>5.3</v>
      </c>
      <c r="X88" s="33">
        <v>3.0729166666666665E-2</v>
      </c>
    </row>
    <row r="89" spans="13:24" x14ac:dyDescent="0.3">
      <c r="M89" s="10" t="s">
        <v>54</v>
      </c>
      <c r="N89" s="2">
        <v>7680</v>
      </c>
      <c r="O89" s="2">
        <v>161</v>
      </c>
      <c r="P89" s="2">
        <v>5.3</v>
      </c>
      <c r="Q89" s="2"/>
      <c r="R89" s="2">
        <v>2.6</v>
      </c>
      <c r="S89" s="2"/>
      <c r="T89" s="2"/>
      <c r="U89" s="2"/>
      <c r="V89" s="2">
        <v>782</v>
      </c>
      <c r="W89" s="2"/>
      <c r="X89" s="32">
        <v>3.0844907407407408E-2</v>
      </c>
    </row>
    <row r="90" spans="13:24" x14ac:dyDescent="0.3">
      <c r="M90" s="27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11"/>
    </row>
    <row r="91" spans="13:24" ht="15" thickBot="1" x14ac:dyDescent="0.35">
      <c r="M91" s="29" t="s">
        <v>76</v>
      </c>
      <c r="N91" s="40">
        <f t="shared" ref="N91:X91" si="8">AVERAGE(N84:N89)</f>
        <v>7683.333333333333</v>
      </c>
      <c r="O91" s="40">
        <f t="shared" si="8"/>
        <v>160.91666666666666</v>
      </c>
      <c r="P91" s="40">
        <f t="shared" si="8"/>
        <v>5.2666666666666666</v>
      </c>
      <c r="Q91" s="40">
        <f t="shared" si="8"/>
        <v>-0.3</v>
      </c>
      <c r="R91" s="40">
        <f t="shared" si="8"/>
        <v>2.6</v>
      </c>
      <c r="S91" s="40">
        <f t="shared" si="8"/>
        <v>-1</v>
      </c>
      <c r="T91" s="40">
        <f t="shared" si="8"/>
        <v>457.5</v>
      </c>
      <c r="U91" s="40">
        <f t="shared" si="8"/>
        <v>491</v>
      </c>
      <c r="V91" s="40">
        <f t="shared" si="8"/>
        <v>782</v>
      </c>
      <c r="W91" s="40">
        <f t="shared" si="8"/>
        <v>5.3</v>
      </c>
      <c r="X91" s="41">
        <f t="shared" si="8"/>
        <v>3.0858410493827163E-2</v>
      </c>
    </row>
    <row r="92" spans="13:24" ht="15" thickBot="1" x14ac:dyDescent="0.35">
      <c r="X92" s="18"/>
    </row>
    <row r="93" spans="13:24" ht="18" x14ac:dyDescent="0.35">
      <c r="M93" s="51" t="s">
        <v>84</v>
      </c>
      <c r="N93" s="52"/>
      <c r="O93" s="52"/>
      <c r="P93" s="52"/>
      <c r="Q93" s="52"/>
      <c r="R93" s="52"/>
      <c r="S93" s="52"/>
      <c r="T93" s="52"/>
      <c r="U93" s="52"/>
      <c r="V93" s="52"/>
      <c r="W93" s="52"/>
      <c r="X93" s="54"/>
    </row>
    <row r="94" spans="13:24" ht="15" thickBot="1" x14ac:dyDescent="0.35">
      <c r="M94" s="24" t="s">
        <v>69</v>
      </c>
      <c r="N94" s="22" t="s">
        <v>28</v>
      </c>
      <c r="O94" s="22" t="s">
        <v>29</v>
      </c>
      <c r="P94" s="22" t="s">
        <v>30</v>
      </c>
      <c r="Q94" s="22" t="s">
        <v>35</v>
      </c>
      <c r="R94" s="22" t="s">
        <v>36</v>
      </c>
      <c r="S94" s="22" t="s">
        <v>37</v>
      </c>
      <c r="T94" s="22" t="s">
        <v>31</v>
      </c>
      <c r="U94" s="22" t="s">
        <v>32</v>
      </c>
      <c r="V94" s="22" t="s">
        <v>38</v>
      </c>
      <c r="W94" s="22" t="s">
        <v>34</v>
      </c>
      <c r="X94" s="31" t="s">
        <v>26</v>
      </c>
    </row>
    <row r="95" spans="13:24" ht="15" thickTop="1" x14ac:dyDescent="0.3">
      <c r="M95" s="10" t="s">
        <v>71</v>
      </c>
      <c r="N95" s="16">
        <v>7700</v>
      </c>
      <c r="O95" s="16">
        <v>162</v>
      </c>
      <c r="P95" s="2">
        <v>5.3</v>
      </c>
      <c r="Q95" s="2">
        <v>-0.9</v>
      </c>
      <c r="R95" s="16"/>
      <c r="S95" s="16">
        <v>-35</v>
      </c>
      <c r="T95" s="16">
        <v>455</v>
      </c>
      <c r="U95" s="16">
        <v>491</v>
      </c>
      <c r="V95" s="16"/>
      <c r="W95" s="16"/>
      <c r="X95" s="37">
        <v>3.1712962962962964E-2</v>
      </c>
    </row>
    <row r="96" spans="13:24" x14ac:dyDescent="0.3">
      <c r="M96" s="10" t="s">
        <v>72</v>
      </c>
      <c r="N96" s="2">
        <v>7720</v>
      </c>
      <c r="O96" s="2">
        <v>161.5</v>
      </c>
      <c r="P96" s="2">
        <v>5.4</v>
      </c>
      <c r="Q96" s="2">
        <v>-1</v>
      </c>
      <c r="R96" s="2">
        <v>2.6</v>
      </c>
      <c r="S96" s="2">
        <v>-40</v>
      </c>
      <c r="T96" s="2">
        <v>456</v>
      </c>
      <c r="U96" s="2">
        <v>490</v>
      </c>
      <c r="V96" s="2"/>
      <c r="W96" s="2"/>
      <c r="X96" s="33">
        <v>3.2118055555555552E-2</v>
      </c>
    </row>
    <row r="97" spans="13:24" x14ac:dyDescent="0.3">
      <c r="M97" s="10" t="s">
        <v>73</v>
      </c>
      <c r="N97" s="2">
        <v>7700</v>
      </c>
      <c r="O97" s="2">
        <v>161</v>
      </c>
      <c r="P97" s="2">
        <v>5.2</v>
      </c>
      <c r="Q97" s="2"/>
      <c r="R97" s="2">
        <v>2.6</v>
      </c>
      <c r="S97" s="2">
        <v>-33</v>
      </c>
      <c r="T97" s="2"/>
      <c r="U97" s="2"/>
      <c r="V97" s="2"/>
      <c r="W97" s="2"/>
      <c r="X97" s="33">
        <v>3.2060185185185185E-2</v>
      </c>
    </row>
    <row r="98" spans="13:24" x14ac:dyDescent="0.3">
      <c r="M98" s="10" t="s">
        <v>74</v>
      </c>
      <c r="N98" s="2">
        <v>7700</v>
      </c>
      <c r="O98" s="2">
        <v>162</v>
      </c>
      <c r="P98" s="2">
        <v>5.3</v>
      </c>
      <c r="Q98" s="2"/>
      <c r="R98" s="2"/>
      <c r="S98" s="2"/>
      <c r="T98" s="2"/>
      <c r="U98" s="2"/>
      <c r="V98" s="2">
        <v>810</v>
      </c>
      <c r="W98" s="2">
        <v>5.3</v>
      </c>
      <c r="X98" s="33">
        <v>3.2118055555555552E-2</v>
      </c>
    </row>
    <row r="99" spans="13:24" x14ac:dyDescent="0.3">
      <c r="M99" s="10" t="s">
        <v>75</v>
      </c>
      <c r="N99" s="2">
        <v>7700</v>
      </c>
      <c r="O99" s="2">
        <v>162</v>
      </c>
      <c r="P99" s="2">
        <v>5.3</v>
      </c>
      <c r="Q99" s="2"/>
      <c r="R99" s="2"/>
      <c r="S99" s="2">
        <v>-35</v>
      </c>
      <c r="T99" s="2"/>
      <c r="U99" s="2"/>
      <c r="V99" s="2"/>
      <c r="W99" s="2">
        <v>5.3</v>
      </c>
      <c r="X99" s="33">
        <v>3.2002314814814817E-2</v>
      </c>
    </row>
    <row r="100" spans="13:24" x14ac:dyDescent="0.3">
      <c r="M100" s="10" t="s">
        <v>54</v>
      </c>
      <c r="N100" s="2"/>
      <c r="O100" s="2"/>
      <c r="P100" s="2"/>
      <c r="Q100" s="2"/>
      <c r="R100" s="2"/>
      <c r="S100" s="2"/>
      <c r="T100" s="2"/>
      <c r="U100" s="2"/>
      <c r="V100" s="2"/>
      <c r="W100" s="13"/>
      <c r="X100" s="33"/>
    </row>
    <row r="101" spans="13:24" x14ac:dyDescent="0.3">
      <c r="M101" s="27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8"/>
    </row>
    <row r="102" spans="13:24" ht="15" thickBot="1" x14ac:dyDescent="0.35">
      <c r="M102" s="29" t="s">
        <v>76</v>
      </c>
      <c r="N102" s="40">
        <f t="shared" ref="N102:W102" si="9">AVERAGE(N95:N100)</f>
        <v>7704</v>
      </c>
      <c r="O102" s="40">
        <f t="shared" si="9"/>
        <v>161.69999999999999</v>
      </c>
      <c r="P102" s="40">
        <f t="shared" si="9"/>
        <v>5.3</v>
      </c>
      <c r="Q102" s="40">
        <f t="shared" si="9"/>
        <v>-0.95</v>
      </c>
      <c r="R102" s="40">
        <f t="shared" si="9"/>
        <v>2.6</v>
      </c>
      <c r="S102" s="40">
        <f t="shared" si="9"/>
        <v>-35.75</v>
      </c>
      <c r="T102" s="40">
        <f t="shared" si="9"/>
        <v>455.5</v>
      </c>
      <c r="U102" s="40">
        <f t="shared" si="9"/>
        <v>490.5</v>
      </c>
      <c r="V102" s="40">
        <f t="shared" si="9"/>
        <v>810</v>
      </c>
      <c r="W102" s="40">
        <f t="shared" si="9"/>
        <v>5.3</v>
      </c>
      <c r="X102" s="36">
        <f>AVERAGE(X96:X100)</f>
        <v>3.2074652777777782E-2</v>
      </c>
    </row>
  </sheetData>
  <mergeCells count="17">
    <mergeCell ref="A1:I1"/>
    <mergeCell ref="M1:X1"/>
    <mergeCell ref="M4:X4"/>
    <mergeCell ref="A4:I4"/>
    <mergeCell ref="A60:I60"/>
    <mergeCell ref="M71:X71"/>
    <mergeCell ref="M82:X82"/>
    <mergeCell ref="M93:X93"/>
    <mergeCell ref="A15:I15"/>
    <mergeCell ref="M26:X26"/>
    <mergeCell ref="M15:X15"/>
    <mergeCell ref="A26:I26"/>
    <mergeCell ref="M49:X49"/>
    <mergeCell ref="A49:I49"/>
    <mergeCell ref="M37:X37"/>
    <mergeCell ref="A37:I37"/>
    <mergeCell ref="M60:X60"/>
  </mergeCells>
  <conditionalFormatting sqref="B6">
    <cfRule type="containsBlanks" dxfId="176" priority="322">
      <formula>LEN(TRIM(B6))=0</formula>
    </cfRule>
  </conditionalFormatting>
  <conditionalFormatting sqref="B8:B11">
    <cfRule type="containsBlanks" dxfId="175" priority="321">
      <formula>LEN(TRIM(B8))=0</formula>
    </cfRule>
  </conditionalFormatting>
  <conditionalFormatting sqref="B28">
    <cfRule type="containsBlanks" dxfId="174" priority="318">
      <formula>LEN(TRIM(B28))=0</formula>
    </cfRule>
  </conditionalFormatting>
  <conditionalFormatting sqref="B30:B33">
    <cfRule type="containsBlanks" dxfId="173" priority="317">
      <formula>LEN(TRIM(B30))=0</formula>
    </cfRule>
  </conditionalFormatting>
  <conditionalFormatting sqref="B39">
    <cfRule type="containsBlanks" dxfId="172" priority="316">
      <formula>LEN(TRIM(B39))=0</formula>
    </cfRule>
  </conditionalFormatting>
  <conditionalFormatting sqref="B41:B44">
    <cfRule type="containsBlanks" dxfId="171" priority="315">
      <formula>LEN(TRIM(B41))=0</formula>
    </cfRule>
  </conditionalFormatting>
  <conditionalFormatting sqref="B51">
    <cfRule type="containsBlanks" dxfId="170" priority="314">
      <formula>LEN(TRIM(B51))=0</formula>
    </cfRule>
  </conditionalFormatting>
  <conditionalFormatting sqref="B53:B56">
    <cfRule type="containsBlanks" dxfId="169" priority="313">
      <formula>LEN(TRIM(B53))=0</formula>
    </cfRule>
  </conditionalFormatting>
  <conditionalFormatting sqref="B17">
    <cfRule type="containsBlanks" dxfId="168" priority="310">
      <formula>LEN(TRIM(B17))=0</formula>
    </cfRule>
  </conditionalFormatting>
  <conditionalFormatting sqref="B19:B22">
    <cfRule type="containsBlanks" dxfId="167" priority="309">
      <formula>LEN(TRIM(B19))=0</formula>
    </cfRule>
  </conditionalFormatting>
  <conditionalFormatting sqref="B62:H62">
    <cfRule type="containsBlanks" dxfId="166" priority="308">
      <formula>LEN(TRIM(B62))=0</formula>
    </cfRule>
  </conditionalFormatting>
  <conditionalFormatting sqref="B63:H63">
    <cfRule type="containsBlanks" dxfId="165" priority="307">
      <formula>LEN(TRIM(B63))=0</formula>
    </cfRule>
  </conditionalFormatting>
  <conditionalFormatting sqref="D51:H51">
    <cfRule type="containsBlanks" dxfId="164" priority="306">
      <formula>LEN(TRIM(D51))=0</formula>
    </cfRule>
  </conditionalFormatting>
  <conditionalFormatting sqref="B64:H64">
    <cfRule type="containsBlanks" dxfId="163" priority="305">
      <formula>LEN(TRIM(B64))=0</formula>
    </cfRule>
  </conditionalFormatting>
  <conditionalFormatting sqref="D52:H52">
    <cfRule type="containsBlanks" dxfId="162" priority="304">
      <formula>LEN(TRIM(D52))=0</formula>
    </cfRule>
  </conditionalFormatting>
  <conditionalFormatting sqref="D53:H53">
    <cfRule type="containsBlanks" dxfId="161" priority="303">
      <formula>LEN(TRIM(D53))=0</formula>
    </cfRule>
  </conditionalFormatting>
  <conditionalFormatting sqref="B65:H65">
    <cfRule type="containsBlanks" dxfId="160" priority="302">
      <formula>LEN(TRIM(B65))=0</formula>
    </cfRule>
  </conditionalFormatting>
  <conditionalFormatting sqref="D54:H54">
    <cfRule type="containsBlanks" dxfId="159" priority="301">
      <formula>LEN(TRIM(D54))=0</formula>
    </cfRule>
  </conditionalFormatting>
  <conditionalFormatting sqref="B66:H66">
    <cfRule type="containsBlanks" dxfId="158" priority="300">
      <formula>LEN(TRIM(B66))=0</formula>
    </cfRule>
  </conditionalFormatting>
  <conditionalFormatting sqref="D56:H56">
    <cfRule type="containsBlanks" dxfId="157" priority="299">
      <formula>LEN(TRIM(D56))=0</formula>
    </cfRule>
  </conditionalFormatting>
  <conditionalFormatting sqref="B67:H67">
    <cfRule type="containsBlanks" dxfId="156" priority="298">
      <formula>LEN(TRIM(B67))=0</formula>
    </cfRule>
  </conditionalFormatting>
  <conditionalFormatting sqref="I62">
    <cfRule type="containsBlanks" dxfId="155" priority="297">
      <formula>LEN(TRIM(I62))=0</formula>
    </cfRule>
  </conditionalFormatting>
  <conditionalFormatting sqref="I63">
    <cfRule type="containsBlanks" dxfId="154" priority="296">
      <formula>LEN(TRIM(I63))=0</formula>
    </cfRule>
  </conditionalFormatting>
  <conditionalFormatting sqref="I64">
    <cfRule type="containsBlanks" dxfId="153" priority="295">
      <formula>LEN(TRIM(I64))=0</formula>
    </cfRule>
  </conditionalFormatting>
  <conditionalFormatting sqref="I65">
    <cfRule type="containsBlanks" dxfId="152" priority="294">
      <formula>LEN(TRIM(I65))=0</formula>
    </cfRule>
  </conditionalFormatting>
  <conditionalFormatting sqref="I66">
    <cfRule type="containsBlanks" dxfId="151" priority="293">
      <formula>LEN(TRIM(I66))=0</formula>
    </cfRule>
  </conditionalFormatting>
  <conditionalFormatting sqref="I67">
    <cfRule type="containsBlanks" dxfId="150" priority="292">
      <formula>LEN(TRIM(I67))=0</formula>
    </cfRule>
  </conditionalFormatting>
  <conditionalFormatting sqref="N6:P6 S6:U6">
    <cfRule type="containsBlanks" dxfId="149" priority="291">
      <formula>LEN(TRIM(N6))=0</formula>
    </cfRule>
  </conditionalFormatting>
  <conditionalFormatting sqref="Q6">
    <cfRule type="containsBlanks" dxfId="148" priority="290">
      <formula>LEN(TRIM(Q6))=0</formula>
    </cfRule>
  </conditionalFormatting>
  <conditionalFormatting sqref="R6">
    <cfRule type="containsBlanks" dxfId="147" priority="289">
      <formula>LEN(TRIM(R6))=0</formula>
    </cfRule>
  </conditionalFormatting>
  <conditionalFormatting sqref="N7:P7 T7:U7">
    <cfRule type="containsBlanks" dxfId="146" priority="288">
      <formula>LEN(TRIM(N7))=0</formula>
    </cfRule>
  </conditionalFormatting>
  <conditionalFormatting sqref="Q7:S7 V7:W7">
    <cfRule type="containsBlanks" dxfId="145" priority="287">
      <formula>LEN(TRIM(Q7))=0</formula>
    </cfRule>
  </conditionalFormatting>
  <conditionalFormatting sqref="N8:P8 T8:U8">
    <cfRule type="containsBlanks" dxfId="144" priority="286">
      <formula>LEN(TRIM(N8))=0</formula>
    </cfRule>
  </conditionalFormatting>
  <conditionalFormatting sqref="Q8:S8 V8:W8">
    <cfRule type="containsBlanks" dxfId="143" priority="285">
      <formula>LEN(TRIM(Q8))=0</formula>
    </cfRule>
  </conditionalFormatting>
  <conditionalFormatting sqref="N9:P9 T9:U9">
    <cfRule type="containsBlanks" dxfId="142" priority="284">
      <formula>LEN(TRIM(N9))=0</formula>
    </cfRule>
  </conditionalFormatting>
  <conditionalFormatting sqref="Q9:S9 V9:W9">
    <cfRule type="containsBlanks" dxfId="141" priority="283">
      <formula>LEN(TRIM(Q9))=0</formula>
    </cfRule>
  </conditionalFormatting>
  <conditionalFormatting sqref="N10:P10">
    <cfRule type="containsBlanks" dxfId="140" priority="282">
      <formula>LEN(TRIM(N10))=0</formula>
    </cfRule>
  </conditionalFormatting>
  <conditionalFormatting sqref="S10 V10:W10">
    <cfRule type="containsBlanks" dxfId="139" priority="281">
      <formula>LEN(TRIM(S10))=0</formula>
    </cfRule>
  </conditionalFormatting>
  <conditionalFormatting sqref="Q10">
    <cfRule type="containsBlanks" dxfId="138" priority="280">
      <formula>LEN(TRIM(Q10))=0</formula>
    </cfRule>
  </conditionalFormatting>
  <conditionalFormatting sqref="R10">
    <cfRule type="containsBlanks" dxfId="137" priority="279">
      <formula>LEN(TRIM(R10))=0</formula>
    </cfRule>
  </conditionalFormatting>
  <conditionalFormatting sqref="T10">
    <cfRule type="containsBlanks" dxfId="136" priority="278">
      <formula>LEN(TRIM(T10))=0</formula>
    </cfRule>
  </conditionalFormatting>
  <conditionalFormatting sqref="U10">
    <cfRule type="containsBlanks" dxfId="135" priority="277">
      <formula>LEN(TRIM(U10))=0</formula>
    </cfRule>
  </conditionalFormatting>
  <conditionalFormatting sqref="N11:P11 T11:U11">
    <cfRule type="containsBlanks" dxfId="134" priority="276">
      <formula>LEN(TRIM(N11))=0</formula>
    </cfRule>
  </conditionalFormatting>
  <conditionalFormatting sqref="Q11:S11 V11:W11">
    <cfRule type="containsBlanks" dxfId="133" priority="275">
      <formula>LEN(TRIM(Q11))=0</formula>
    </cfRule>
  </conditionalFormatting>
  <conditionalFormatting sqref="N18:Q18 S18:W18">
    <cfRule type="containsBlanks" dxfId="132" priority="188">
      <formula>LEN(TRIM(N18))=0</formula>
    </cfRule>
  </conditionalFormatting>
  <conditionalFormatting sqref="R18">
    <cfRule type="containsBlanks" dxfId="131" priority="187">
      <formula>LEN(TRIM(R18))=0</formula>
    </cfRule>
  </conditionalFormatting>
  <conditionalFormatting sqref="N19:W19">
    <cfRule type="containsBlanks" dxfId="130" priority="186">
      <formula>LEN(TRIM(N19))=0</formula>
    </cfRule>
  </conditionalFormatting>
  <conditionalFormatting sqref="N20:W20">
    <cfRule type="containsBlanks" dxfId="129" priority="185">
      <formula>LEN(TRIM(N20))=0</formula>
    </cfRule>
  </conditionalFormatting>
  <conditionalFormatting sqref="N21:P21 S21 V21:W21">
    <cfRule type="containsBlanks" dxfId="128" priority="184">
      <formula>LEN(TRIM(N21))=0</formula>
    </cfRule>
  </conditionalFormatting>
  <conditionalFormatting sqref="Q21">
    <cfRule type="containsBlanks" dxfId="127" priority="183">
      <formula>LEN(TRIM(Q21))=0</formula>
    </cfRule>
  </conditionalFormatting>
  <conditionalFormatting sqref="R21">
    <cfRule type="containsBlanks" dxfId="126" priority="182">
      <formula>LEN(TRIM(R21))=0</formula>
    </cfRule>
  </conditionalFormatting>
  <conditionalFormatting sqref="T21">
    <cfRule type="containsBlanks" dxfId="125" priority="181">
      <formula>LEN(TRIM(T21))=0</formula>
    </cfRule>
  </conditionalFormatting>
  <conditionalFormatting sqref="U21">
    <cfRule type="containsBlanks" dxfId="124" priority="180">
      <formula>LEN(TRIM(U21))=0</formula>
    </cfRule>
  </conditionalFormatting>
  <conditionalFormatting sqref="N22:W22">
    <cfRule type="containsBlanks" dxfId="123" priority="128">
      <formula>LEN(TRIM(N22))=0</formula>
    </cfRule>
  </conditionalFormatting>
  <conditionalFormatting sqref="N17:Q17 T17:U17">
    <cfRule type="containsBlanks" dxfId="122" priority="127">
      <formula>LEN(TRIM(N17))=0</formula>
    </cfRule>
  </conditionalFormatting>
  <conditionalFormatting sqref="S29:W29 N28:Q29 T28:U28">
    <cfRule type="containsBlanks" dxfId="121" priority="126">
      <formula>LEN(TRIM(N28))=0</formula>
    </cfRule>
  </conditionalFormatting>
  <conditionalFormatting sqref="R29">
    <cfRule type="containsBlanks" dxfId="120" priority="125">
      <formula>LEN(TRIM(R29))=0</formula>
    </cfRule>
  </conditionalFormatting>
  <conditionalFormatting sqref="N30:W30">
    <cfRule type="containsBlanks" dxfId="119" priority="124">
      <formula>LEN(TRIM(N30))=0</formula>
    </cfRule>
  </conditionalFormatting>
  <conditionalFormatting sqref="N31:W31">
    <cfRule type="containsBlanks" dxfId="118" priority="123">
      <formula>LEN(TRIM(N31))=0</formula>
    </cfRule>
  </conditionalFormatting>
  <conditionalFormatting sqref="N32:P32 S32 V32:W32">
    <cfRule type="containsBlanks" dxfId="117" priority="122">
      <formula>LEN(TRIM(N32))=0</formula>
    </cfRule>
  </conditionalFormatting>
  <conditionalFormatting sqref="Q32">
    <cfRule type="containsBlanks" dxfId="116" priority="121">
      <formula>LEN(TRIM(Q32))=0</formula>
    </cfRule>
  </conditionalFormatting>
  <conditionalFormatting sqref="R32">
    <cfRule type="containsBlanks" dxfId="115" priority="120">
      <formula>LEN(TRIM(R32))=0</formula>
    </cfRule>
  </conditionalFormatting>
  <conditionalFormatting sqref="T32">
    <cfRule type="containsBlanks" dxfId="114" priority="119">
      <formula>LEN(TRIM(T32))=0</formula>
    </cfRule>
  </conditionalFormatting>
  <conditionalFormatting sqref="U32">
    <cfRule type="containsBlanks" dxfId="113" priority="118">
      <formula>LEN(TRIM(U32))=0</formula>
    </cfRule>
  </conditionalFormatting>
  <conditionalFormatting sqref="N33:W33">
    <cfRule type="containsBlanks" dxfId="112" priority="117">
      <formula>LEN(TRIM(N33))=0</formula>
    </cfRule>
  </conditionalFormatting>
  <conditionalFormatting sqref="N40:Q40 S40:W40">
    <cfRule type="containsBlanks" dxfId="111" priority="116">
      <formula>LEN(TRIM(N40))=0</formula>
    </cfRule>
  </conditionalFormatting>
  <conditionalFormatting sqref="R40">
    <cfRule type="containsBlanks" dxfId="110" priority="115">
      <formula>LEN(TRIM(R40))=0</formula>
    </cfRule>
  </conditionalFormatting>
  <conditionalFormatting sqref="N41:W41">
    <cfRule type="containsBlanks" dxfId="109" priority="114">
      <formula>LEN(TRIM(N41))=0</formula>
    </cfRule>
  </conditionalFormatting>
  <conditionalFormatting sqref="N42:W42">
    <cfRule type="containsBlanks" dxfId="108" priority="113">
      <formula>LEN(TRIM(N42))=0</formula>
    </cfRule>
  </conditionalFormatting>
  <conditionalFormatting sqref="N43:P43 S43 V43:W43">
    <cfRule type="containsBlanks" dxfId="107" priority="112">
      <formula>LEN(TRIM(N43))=0</formula>
    </cfRule>
  </conditionalFormatting>
  <conditionalFormatting sqref="Q43">
    <cfRule type="containsBlanks" dxfId="106" priority="111">
      <formula>LEN(TRIM(Q43))=0</formula>
    </cfRule>
  </conditionalFormatting>
  <conditionalFormatting sqref="R43">
    <cfRule type="containsBlanks" dxfId="105" priority="110">
      <formula>LEN(TRIM(R43))=0</formula>
    </cfRule>
  </conditionalFormatting>
  <conditionalFormatting sqref="T43">
    <cfRule type="containsBlanks" dxfId="104" priority="109">
      <formula>LEN(TRIM(T43))=0</formula>
    </cfRule>
  </conditionalFormatting>
  <conditionalFormatting sqref="U43">
    <cfRule type="containsBlanks" dxfId="103" priority="108">
      <formula>LEN(TRIM(U43))=0</formula>
    </cfRule>
  </conditionalFormatting>
  <conditionalFormatting sqref="N44:W44">
    <cfRule type="containsBlanks" dxfId="102" priority="107">
      <formula>LEN(TRIM(N44))=0</formula>
    </cfRule>
  </conditionalFormatting>
  <conditionalFormatting sqref="N39:Q39 T39:U39">
    <cfRule type="containsBlanks" dxfId="101" priority="106">
      <formula>LEN(TRIM(N39))=0</formula>
    </cfRule>
  </conditionalFormatting>
  <conditionalFormatting sqref="S52:W52 N51:Q52 T51:U51">
    <cfRule type="containsBlanks" dxfId="100" priority="105">
      <formula>LEN(TRIM(N51))=0</formula>
    </cfRule>
  </conditionalFormatting>
  <conditionalFormatting sqref="R52">
    <cfRule type="containsBlanks" dxfId="99" priority="104">
      <formula>LEN(TRIM(R52))=0</formula>
    </cfRule>
  </conditionalFormatting>
  <conditionalFormatting sqref="N53:W53">
    <cfRule type="containsBlanks" dxfId="98" priority="103">
      <formula>LEN(TRIM(N53))=0</formula>
    </cfRule>
  </conditionalFormatting>
  <conditionalFormatting sqref="N54:W54">
    <cfRule type="containsBlanks" dxfId="97" priority="102">
      <formula>LEN(TRIM(N54))=0</formula>
    </cfRule>
  </conditionalFormatting>
  <conditionalFormatting sqref="N55:P55 S55 V55:W55">
    <cfRule type="containsBlanks" dxfId="96" priority="101">
      <formula>LEN(TRIM(N55))=0</formula>
    </cfRule>
  </conditionalFormatting>
  <conditionalFormatting sqref="Q55">
    <cfRule type="containsBlanks" dxfId="95" priority="100">
      <formula>LEN(TRIM(Q55))=0</formula>
    </cfRule>
  </conditionalFormatting>
  <conditionalFormatting sqref="R55">
    <cfRule type="containsBlanks" dxfId="94" priority="99">
      <formula>LEN(TRIM(R55))=0</formula>
    </cfRule>
  </conditionalFormatting>
  <conditionalFormatting sqref="T55">
    <cfRule type="containsBlanks" dxfId="93" priority="98">
      <formula>LEN(TRIM(T55))=0</formula>
    </cfRule>
  </conditionalFormatting>
  <conditionalFormatting sqref="U55">
    <cfRule type="containsBlanks" dxfId="92" priority="97">
      <formula>LEN(TRIM(U55))=0</formula>
    </cfRule>
  </conditionalFormatting>
  <conditionalFormatting sqref="N56:W56">
    <cfRule type="containsBlanks" dxfId="91" priority="96">
      <formula>LEN(TRIM(N56))=0</formula>
    </cfRule>
  </conditionalFormatting>
  <conditionalFormatting sqref="S63:W63 N62:Q63 S62:U62">
    <cfRule type="containsBlanks" dxfId="90" priority="95">
      <formula>LEN(TRIM(N62))=0</formula>
    </cfRule>
  </conditionalFormatting>
  <conditionalFormatting sqref="R63">
    <cfRule type="containsBlanks" dxfId="89" priority="94">
      <formula>LEN(TRIM(R63))=0</formula>
    </cfRule>
  </conditionalFormatting>
  <conditionalFormatting sqref="N64:W64">
    <cfRule type="containsBlanks" dxfId="88" priority="93">
      <formula>LEN(TRIM(N64))=0</formula>
    </cfRule>
  </conditionalFormatting>
  <conditionalFormatting sqref="N65:W65">
    <cfRule type="containsBlanks" dxfId="87" priority="92">
      <formula>LEN(TRIM(N65))=0</formula>
    </cfRule>
  </conditionalFormatting>
  <conditionalFormatting sqref="N66:P66 S66 V66:W66">
    <cfRule type="containsBlanks" dxfId="86" priority="91">
      <formula>LEN(TRIM(N66))=0</formula>
    </cfRule>
  </conditionalFormatting>
  <conditionalFormatting sqref="Q66">
    <cfRule type="containsBlanks" dxfId="85" priority="90">
      <formula>LEN(TRIM(Q66))=0</formula>
    </cfRule>
  </conditionalFormatting>
  <conditionalFormatting sqref="R66">
    <cfRule type="containsBlanks" dxfId="84" priority="89">
      <formula>LEN(TRIM(R66))=0</formula>
    </cfRule>
  </conditionalFormatting>
  <conditionalFormatting sqref="T66">
    <cfRule type="containsBlanks" dxfId="83" priority="88">
      <formula>LEN(TRIM(T66))=0</formula>
    </cfRule>
  </conditionalFormatting>
  <conditionalFormatting sqref="U66">
    <cfRule type="containsBlanks" dxfId="82" priority="87">
      <formula>LEN(TRIM(U66))=0</formula>
    </cfRule>
  </conditionalFormatting>
  <conditionalFormatting sqref="N67:W67">
    <cfRule type="containsBlanks" dxfId="81" priority="86">
      <formula>LEN(TRIM(N67))=0</formula>
    </cfRule>
  </conditionalFormatting>
  <conditionalFormatting sqref="N74:Q74 S74:W74 N73:W73">
    <cfRule type="containsBlanks" dxfId="80" priority="85">
      <formula>LEN(TRIM(N73))=0</formula>
    </cfRule>
  </conditionalFormatting>
  <conditionalFormatting sqref="R74">
    <cfRule type="containsBlanks" dxfId="79" priority="84">
      <formula>LEN(TRIM(R74))=0</formula>
    </cfRule>
  </conditionalFormatting>
  <conditionalFormatting sqref="N75:W75">
    <cfRule type="containsBlanks" dxfId="78" priority="83">
      <formula>LEN(TRIM(N75))=0</formula>
    </cfRule>
  </conditionalFormatting>
  <conditionalFormatting sqref="N76:W76">
    <cfRule type="containsBlanks" dxfId="77" priority="82">
      <formula>LEN(TRIM(N76))=0</formula>
    </cfRule>
  </conditionalFormatting>
  <conditionalFormatting sqref="N77:P77 S77 V77:W77">
    <cfRule type="containsBlanks" dxfId="76" priority="81">
      <formula>LEN(TRIM(N77))=0</formula>
    </cfRule>
  </conditionalFormatting>
  <conditionalFormatting sqref="Q77">
    <cfRule type="containsBlanks" dxfId="75" priority="80">
      <formula>LEN(TRIM(Q77))=0</formula>
    </cfRule>
  </conditionalFormatting>
  <conditionalFormatting sqref="R77">
    <cfRule type="containsBlanks" dxfId="74" priority="79">
      <formula>LEN(TRIM(R77))=0</formula>
    </cfRule>
  </conditionalFormatting>
  <conditionalFormatting sqref="T77">
    <cfRule type="containsBlanks" dxfId="73" priority="78">
      <formula>LEN(TRIM(T77))=0</formula>
    </cfRule>
  </conditionalFormatting>
  <conditionalFormatting sqref="U77">
    <cfRule type="containsBlanks" dxfId="72" priority="77">
      <formula>LEN(TRIM(U77))=0</formula>
    </cfRule>
  </conditionalFormatting>
  <conditionalFormatting sqref="N78:W78">
    <cfRule type="containsBlanks" dxfId="71" priority="76">
      <formula>LEN(TRIM(N78))=0</formula>
    </cfRule>
  </conditionalFormatting>
  <conditionalFormatting sqref="N85:Q86 S85:W86 N84:W84">
    <cfRule type="containsBlanks" dxfId="70" priority="75">
      <formula>LEN(TRIM(N84))=0</formula>
    </cfRule>
  </conditionalFormatting>
  <conditionalFormatting sqref="R85">
    <cfRule type="containsBlanks" dxfId="69" priority="74">
      <formula>LEN(TRIM(R85))=0</formula>
    </cfRule>
  </conditionalFormatting>
  <conditionalFormatting sqref="R86">
    <cfRule type="containsBlanks" dxfId="68" priority="73">
      <formula>LEN(TRIM(R86))=0</formula>
    </cfRule>
  </conditionalFormatting>
  <conditionalFormatting sqref="N87:W87">
    <cfRule type="containsBlanks" dxfId="67" priority="72">
      <formula>LEN(TRIM(N87))=0</formula>
    </cfRule>
  </conditionalFormatting>
  <conditionalFormatting sqref="N88:P88 S88 V88:W88">
    <cfRule type="containsBlanks" dxfId="66" priority="71">
      <formula>LEN(TRIM(N88))=0</formula>
    </cfRule>
  </conditionalFormatting>
  <conditionalFormatting sqref="Q88">
    <cfRule type="containsBlanks" dxfId="65" priority="70">
      <formula>LEN(TRIM(Q88))=0</formula>
    </cfRule>
  </conditionalFormatting>
  <conditionalFormatting sqref="R88">
    <cfRule type="containsBlanks" dxfId="64" priority="69">
      <formula>LEN(TRIM(R88))=0</formula>
    </cfRule>
  </conditionalFormatting>
  <conditionalFormatting sqref="T88">
    <cfRule type="containsBlanks" dxfId="63" priority="68">
      <formula>LEN(TRIM(T88))=0</formula>
    </cfRule>
  </conditionalFormatting>
  <conditionalFormatting sqref="U88">
    <cfRule type="containsBlanks" dxfId="62" priority="67">
      <formula>LEN(TRIM(U88))=0</formula>
    </cfRule>
  </conditionalFormatting>
  <conditionalFormatting sqref="N89:W89">
    <cfRule type="containsBlanks" dxfId="61" priority="66">
      <formula>LEN(TRIM(N89))=0</formula>
    </cfRule>
  </conditionalFormatting>
  <conditionalFormatting sqref="N96:Q97 S96:W97 N95:W95">
    <cfRule type="containsBlanks" dxfId="60" priority="65">
      <formula>LEN(TRIM(N95))=0</formula>
    </cfRule>
  </conditionalFormatting>
  <conditionalFormatting sqref="R96">
    <cfRule type="containsBlanks" dxfId="59" priority="64">
      <formula>LEN(TRIM(R96))=0</formula>
    </cfRule>
  </conditionalFormatting>
  <conditionalFormatting sqref="R97">
    <cfRule type="containsBlanks" dxfId="58" priority="63">
      <formula>LEN(TRIM(R97))=0</formula>
    </cfRule>
  </conditionalFormatting>
  <conditionalFormatting sqref="N98:W98">
    <cfRule type="containsBlanks" dxfId="57" priority="62">
      <formula>LEN(TRIM(N98))=0</formula>
    </cfRule>
  </conditionalFormatting>
  <conditionalFormatting sqref="N99:P99 S99 V99:W99">
    <cfRule type="containsBlanks" dxfId="56" priority="61">
      <formula>LEN(TRIM(N99))=0</formula>
    </cfRule>
  </conditionalFormatting>
  <conditionalFormatting sqref="Q99">
    <cfRule type="containsBlanks" dxfId="55" priority="60">
      <formula>LEN(TRIM(Q99))=0</formula>
    </cfRule>
  </conditionalFormatting>
  <conditionalFormatting sqref="R99">
    <cfRule type="containsBlanks" dxfId="54" priority="59">
      <formula>LEN(TRIM(R99))=0</formula>
    </cfRule>
  </conditionalFormatting>
  <conditionalFormatting sqref="T99">
    <cfRule type="containsBlanks" dxfId="53" priority="58">
      <formula>LEN(TRIM(T99))=0</formula>
    </cfRule>
  </conditionalFormatting>
  <conditionalFormatting sqref="U99">
    <cfRule type="containsBlanks" dxfId="52" priority="57">
      <formula>LEN(TRIM(U99))=0</formula>
    </cfRule>
  </conditionalFormatting>
  <conditionalFormatting sqref="N100:W100">
    <cfRule type="containsBlanks" dxfId="51" priority="56">
      <formula>LEN(TRIM(N100))=0</formula>
    </cfRule>
  </conditionalFormatting>
  <conditionalFormatting sqref="X8">
    <cfRule type="containsBlanks" dxfId="50" priority="52">
      <formula>LEN(TRIM(X8))=0</formula>
    </cfRule>
  </conditionalFormatting>
  <conditionalFormatting sqref="X9">
    <cfRule type="containsBlanks" dxfId="49" priority="51">
      <formula>LEN(TRIM(X9))=0</formula>
    </cfRule>
  </conditionalFormatting>
  <conditionalFormatting sqref="X10">
    <cfRule type="containsBlanks" dxfId="48" priority="50">
      <formula>LEN(TRIM(X10))=0</formula>
    </cfRule>
  </conditionalFormatting>
  <conditionalFormatting sqref="X11">
    <cfRule type="containsBlanks" dxfId="47" priority="49">
      <formula>LEN(TRIM(X11))=0</formula>
    </cfRule>
  </conditionalFormatting>
  <conditionalFormatting sqref="X17">
    <cfRule type="containsBlanks" dxfId="46" priority="48">
      <formula>LEN(TRIM(X17))=0</formula>
    </cfRule>
  </conditionalFormatting>
  <conditionalFormatting sqref="X19">
    <cfRule type="containsBlanks" dxfId="45" priority="47">
      <formula>LEN(TRIM(X19))=0</formula>
    </cfRule>
  </conditionalFormatting>
  <conditionalFormatting sqref="X20">
    <cfRule type="containsBlanks" dxfId="44" priority="46">
      <formula>LEN(TRIM(X20))=0</formula>
    </cfRule>
  </conditionalFormatting>
  <conditionalFormatting sqref="X21">
    <cfRule type="containsBlanks" dxfId="43" priority="45">
      <formula>LEN(TRIM(X21))=0</formula>
    </cfRule>
  </conditionalFormatting>
  <conditionalFormatting sqref="X22">
    <cfRule type="containsBlanks" dxfId="42" priority="44">
      <formula>LEN(TRIM(X22))=0</formula>
    </cfRule>
  </conditionalFormatting>
  <conditionalFormatting sqref="X28">
    <cfRule type="containsBlanks" dxfId="41" priority="43">
      <formula>LEN(TRIM(X28))=0</formula>
    </cfRule>
  </conditionalFormatting>
  <conditionalFormatting sqref="X30">
    <cfRule type="containsBlanks" dxfId="40" priority="42">
      <formula>LEN(TRIM(X30))=0</formula>
    </cfRule>
  </conditionalFormatting>
  <conditionalFormatting sqref="X31">
    <cfRule type="containsBlanks" dxfId="39" priority="41">
      <formula>LEN(TRIM(X31))=0</formula>
    </cfRule>
  </conditionalFormatting>
  <conditionalFormatting sqref="X32">
    <cfRule type="containsBlanks" dxfId="38" priority="40">
      <formula>LEN(TRIM(X32))=0</formula>
    </cfRule>
  </conditionalFormatting>
  <conditionalFormatting sqref="X33">
    <cfRule type="containsBlanks" dxfId="37" priority="39">
      <formula>LEN(TRIM(X33))=0</formula>
    </cfRule>
  </conditionalFormatting>
  <conditionalFormatting sqref="X39">
    <cfRule type="containsBlanks" dxfId="36" priority="38">
      <formula>LEN(TRIM(X39))=0</formula>
    </cfRule>
  </conditionalFormatting>
  <conditionalFormatting sqref="X41">
    <cfRule type="containsBlanks" dxfId="35" priority="36">
      <formula>LEN(TRIM(X41))=0</formula>
    </cfRule>
  </conditionalFormatting>
  <conditionalFormatting sqref="X42">
    <cfRule type="containsBlanks" dxfId="34" priority="35">
      <formula>LEN(TRIM(X42))=0</formula>
    </cfRule>
  </conditionalFormatting>
  <conditionalFormatting sqref="X43">
    <cfRule type="containsBlanks" dxfId="33" priority="34">
      <formula>LEN(TRIM(X43))=0</formula>
    </cfRule>
  </conditionalFormatting>
  <conditionalFormatting sqref="X44">
    <cfRule type="containsBlanks" dxfId="32" priority="33">
      <formula>LEN(TRIM(X44))=0</formula>
    </cfRule>
  </conditionalFormatting>
  <conditionalFormatting sqref="X51">
    <cfRule type="containsBlanks" dxfId="31" priority="32">
      <formula>LEN(TRIM(X51))=0</formula>
    </cfRule>
  </conditionalFormatting>
  <conditionalFormatting sqref="X52">
    <cfRule type="containsBlanks" dxfId="30" priority="31">
      <formula>LEN(TRIM(X52))=0</formula>
    </cfRule>
  </conditionalFormatting>
  <conditionalFormatting sqref="X53">
    <cfRule type="containsBlanks" dxfId="29" priority="30">
      <formula>LEN(TRIM(X53))=0</formula>
    </cfRule>
  </conditionalFormatting>
  <conditionalFormatting sqref="X6">
    <cfRule type="containsBlanks" dxfId="28" priority="29">
      <formula>LEN(TRIM(X6))=0</formula>
    </cfRule>
  </conditionalFormatting>
  <conditionalFormatting sqref="X7">
    <cfRule type="containsBlanks" dxfId="27" priority="28">
      <formula>LEN(TRIM(X7))=0</formula>
    </cfRule>
  </conditionalFormatting>
  <conditionalFormatting sqref="X54">
    <cfRule type="containsBlanks" dxfId="26" priority="27">
      <formula>LEN(TRIM(X54))=0</formula>
    </cfRule>
  </conditionalFormatting>
  <conditionalFormatting sqref="X18">
    <cfRule type="containsBlanks" dxfId="25" priority="26">
      <formula>LEN(TRIM(X18))=0</formula>
    </cfRule>
  </conditionalFormatting>
  <conditionalFormatting sqref="X55">
    <cfRule type="containsBlanks" dxfId="24" priority="25">
      <formula>LEN(TRIM(X55))=0</formula>
    </cfRule>
  </conditionalFormatting>
  <conditionalFormatting sqref="X56">
    <cfRule type="containsBlanks" dxfId="23" priority="24">
      <formula>LEN(TRIM(X56))=0</formula>
    </cfRule>
  </conditionalFormatting>
  <conditionalFormatting sqref="X29">
    <cfRule type="containsBlanks" dxfId="22" priority="23">
      <formula>LEN(TRIM(X29))=0</formula>
    </cfRule>
  </conditionalFormatting>
  <conditionalFormatting sqref="X62">
    <cfRule type="containsBlanks" dxfId="21" priority="22">
      <formula>LEN(TRIM(X62))=0</formula>
    </cfRule>
  </conditionalFormatting>
  <conditionalFormatting sqref="X63">
    <cfRule type="containsBlanks" dxfId="20" priority="21">
      <formula>LEN(TRIM(X63))=0</formula>
    </cfRule>
  </conditionalFormatting>
  <conditionalFormatting sqref="X40">
    <cfRule type="containsBlanks" dxfId="19" priority="20">
      <formula>LEN(TRIM(X40))=0</formula>
    </cfRule>
  </conditionalFormatting>
  <conditionalFormatting sqref="X64">
    <cfRule type="containsBlanks" dxfId="18" priority="19">
      <formula>LEN(TRIM(X64))=0</formula>
    </cfRule>
  </conditionalFormatting>
  <conditionalFormatting sqref="X65">
    <cfRule type="containsBlanks" dxfId="17" priority="18">
      <formula>LEN(TRIM(X65))=0</formula>
    </cfRule>
  </conditionalFormatting>
  <conditionalFormatting sqref="X66">
    <cfRule type="containsBlanks" dxfId="16" priority="17">
      <formula>LEN(TRIM(X66))=0</formula>
    </cfRule>
  </conditionalFormatting>
  <conditionalFormatting sqref="X67">
    <cfRule type="containsBlanks" dxfId="15" priority="16">
      <formula>LEN(TRIM(X67))=0</formula>
    </cfRule>
  </conditionalFormatting>
  <conditionalFormatting sqref="X73:X74">
    <cfRule type="containsBlanks" dxfId="14" priority="15">
      <formula>LEN(TRIM(X73))=0</formula>
    </cfRule>
  </conditionalFormatting>
  <conditionalFormatting sqref="X75">
    <cfRule type="containsBlanks" dxfId="13" priority="14">
      <formula>LEN(TRIM(X75))=0</formula>
    </cfRule>
  </conditionalFormatting>
  <conditionalFormatting sqref="X76">
    <cfRule type="containsBlanks" dxfId="12" priority="13">
      <formula>LEN(TRIM(X76))=0</formula>
    </cfRule>
  </conditionalFormatting>
  <conditionalFormatting sqref="X77">
    <cfRule type="containsBlanks" dxfId="11" priority="12">
      <formula>LEN(TRIM(X77))=0</formula>
    </cfRule>
  </conditionalFormatting>
  <conditionalFormatting sqref="X78">
    <cfRule type="containsBlanks" dxfId="10" priority="11">
      <formula>LEN(TRIM(X78))=0</formula>
    </cfRule>
  </conditionalFormatting>
  <conditionalFormatting sqref="X84:X85">
    <cfRule type="containsBlanks" dxfId="9" priority="10">
      <formula>LEN(TRIM(X84))=0</formula>
    </cfRule>
  </conditionalFormatting>
  <conditionalFormatting sqref="X86">
    <cfRule type="containsBlanks" dxfId="8" priority="9">
      <formula>LEN(TRIM(X86))=0</formula>
    </cfRule>
  </conditionalFormatting>
  <conditionalFormatting sqref="X87">
    <cfRule type="containsBlanks" dxfId="7" priority="8">
      <formula>LEN(TRIM(X87))=0</formula>
    </cfRule>
  </conditionalFormatting>
  <conditionalFormatting sqref="X88">
    <cfRule type="containsBlanks" dxfId="6" priority="7">
      <formula>LEN(TRIM(X88))=0</formula>
    </cfRule>
  </conditionalFormatting>
  <conditionalFormatting sqref="X89">
    <cfRule type="containsBlanks" dxfId="5" priority="6">
      <formula>LEN(TRIM(X89))=0</formula>
    </cfRule>
  </conditionalFormatting>
  <conditionalFormatting sqref="X95:X96">
    <cfRule type="containsBlanks" dxfId="4" priority="5">
      <formula>LEN(TRIM(X95))=0</formula>
    </cfRule>
  </conditionalFormatting>
  <conditionalFormatting sqref="X97">
    <cfRule type="containsBlanks" dxfId="3" priority="4">
      <formula>LEN(TRIM(X97))=0</formula>
    </cfRule>
  </conditionalFormatting>
  <conditionalFormatting sqref="X98">
    <cfRule type="containsBlanks" dxfId="2" priority="3">
      <formula>LEN(TRIM(X98))=0</formula>
    </cfRule>
  </conditionalFormatting>
  <conditionalFormatting sqref="X99">
    <cfRule type="containsBlanks" dxfId="1" priority="2">
      <formula>LEN(TRIM(X99))=0</formula>
    </cfRule>
  </conditionalFormatting>
  <conditionalFormatting sqref="X100">
    <cfRule type="containsBlanks" dxfId="0" priority="1">
      <formula>LEN(TRIM(X100))=0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FD88E3DF60A5C45A3C8F7B0F50CDBB5" ma:contentTypeVersion="6" ma:contentTypeDescription="Een nieuw document maken." ma:contentTypeScope="" ma:versionID="2685623ae084e6d9f69d18a4bbae8528">
  <xsd:schema xmlns:xsd="http://www.w3.org/2001/XMLSchema" xmlns:xs="http://www.w3.org/2001/XMLSchema" xmlns:p="http://schemas.microsoft.com/office/2006/metadata/properties" xmlns:ns2="cdc340af-bcb5-4a36-9199-6adf8c8828c0" targetNamespace="http://schemas.microsoft.com/office/2006/metadata/properties" ma:root="true" ma:fieldsID="927c79a200c20916a28908b51b59a311" ns2:_="">
    <xsd:import namespace="cdc340af-bcb5-4a36-9199-6adf8c8828c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dc340af-bcb5-4a36-9199-6adf8c8828c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FF191E4-FAC3-472C-8CCB-58553F049CC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dc340af-bcb5-4a36-9199-6adf8c8828c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0B00F73-DF1A-461B-A5E1-02865D122C1B}">
  <ds:schemaRefs>
    <ds:schemaRef ds:uri="http://schemas.microsoft.com/office/2006/documentManagement/types"/>
    <ds:schemaRef ds:uri="cdc340af-bcb5-4a36-9199-6adf8c8828c0"/>
    <ds:schemaRef ds:uri="http://purl.org/dc/terms/"/>
    <ds:schemaRef ds:uri="http://schemas.microsoft.com/office/2006/metadata/properties"/>
    <ds:schemaRef ds:uri="http://www.w3.org/XML/1998/namespace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F2433BD2-D08C-4967-952D-664118799D2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Observation Sheet</vt:lpstr>
      <vt:lpstr>Averages</vt:lpstr>
    </vt:vector>
  </TitlesOfParts>
  <Manager/>
  <Company>TU Delft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Hans Mulder - LR</dc:creator>
  <cp:keywords/>
  <dc:description/>
  <cp:lastModifiedBy>Eduard Iacob</cp:lastModifiedBy>
  <cp:revision/>
  <dcterms:created xsi:type="dcterms:W3CDTF">2013-02-25T15:54:42Z</dcterms:created>
  <dcterms:modified xsi:type="dcterms:W3CDTF">2025-03-06T20:52:59Z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0x0101008FD88E3DF60A5C45A3C8F7B0F50CDBB5</vt:lpwstr>
  </property>
</Properties>
</file>